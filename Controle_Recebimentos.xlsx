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wnloads\Distribuidora Aurora\"/>
    </mc:Choice>
  </mc:AlternateContent>
  <xr:revisionPtr revIDLastSave="0" documentId="13_ncr:1_{961BB8E7-AF28-43FF-9D78-CBFDE58B6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ecebimentos" sheetId="2" r:id="rId2"/>
    <sheet name="Cadastro de Clientes" sheetId="3" r:id="rId3"/>
  </sheets>
  <definedNames>
    <definedName name="_xlnm.Print_Area" localSheetId="0">Dashboard!$A$1:$T$50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8" i="1" l="1"/>
  <c r="AG68" i="1"/>
  <c r="AJ68" i="1"/>
  <c r="AM68" i="1"/>
  <c r="AC69" i="1"/>
  <c r="AG69" i="1"/>
  <c r="AJ69" i="1"/>
  <c r="AM69" i="1"/>
  <c r="AC70" i="1"/>
  <c r="AG70" i="1"/>
  <c r="AJ70" i="1"/>
  <c r="AM70" i="1"/>
  <c r="AC71" i="1"/>
  <c r="AG71" i="1"/>
  <c r="AJ71" i="1"/>
  <c r="AM71" i="1"/>
  <c r="AC72" i="1"/>
  <c r="AG72" i="1"/>
  <c r="AJ72" i="1"/>
  <c r="AM72" i="1"/>
  <c r="AC73" i="1"/>
  <c r="AG73" i="1"/>
  <c r="AJ73" i="1"/>
  <c r="AM73" i="1"/>
  <c r="AG74" i="1"/>
  <c r="AM74" i="1"/>
  <c r="AG75" i="1"/>
  <c r="AM75" i="1"/>
  <c r="AG76" i="1"/>
  <c r="AM76" i="1"/>
  <c r="AG77" i="1"/>
  <c r="AM77" i="1"/>
  <c r="AM78" i="1"/>
  <c r="AM79" i="1"/>
  <c r="AM80" i="1"/>
  <c r="AM81" i="1"/>
  <c r="AC81" i="1"/>
  <c r="B6" i="1" s="1"/>
  <c r="AC82" i="1"/>
  <c r="J8" i="1" s="1"/>
  <c r="F6" i="1"/>
  <c r="AD85" i="1" l="1"/>
  <c r="R6" i="1" s="1"/>
  <c r="AE84" i="1"/>
  <c r="N8" i="1" s="1"/>
  <c r="AC83" i="1"/>
  <c r="J6" i="1" s="1"/>
  <c r="AD84" i="1"/>
  <c r="N6" i="1" s="1"/>
  <c r="AE85" i="1"/>
  <c r="R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Assistente Financeiro</author>
  </authors>
  <commentList>
    <comment ref="B4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Cliente nao encontrado no Cadastro de Clientes - Regiao/UF e Categoria deixadas em branco.</t>
        </r>
      </text>
    </comment>
    <comment ref="B4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Cliente nao encontrado no Cadastro de Clientes - Regiao/UF e Categoria deixadas em branco.</t>
        </r>
      </text>
    </comment>
    <comment ref="B8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Cliente nao encontrado no Cadastro de Clientes - Regiao/UF e Categoria deixadas em branco.</t>
        </r>
      </text>
    </comment>
    <comment ref="B10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Cliente nao encontrado no Cadastro de Clientes - Regiao/UF e Categoria deixadas em branco.</t>
        </r>
      </text>
    </comment>
  </commentList>
</comments>
</file>

<file path=xl/sharedStrings.xml><?xml version="1.0" encoding="utf-8"?>
<sst xmlns="http://schemas.openxmlformats.org/spreadsheetml/2006/main" count="990" uniqueCount="76">
  <si>
    <t>Distribuidora Aurora Ltda — Dashboard Financeiro</t>
  </si>
  <si>
    <t>1º Semestre de 2026 (Janeiro a Junho)  ·  Fonte: aba Recebimentos</t>
  </si>
  <si>
    <t>TOTAL RECEBIDO</t>
  </si>
  <si>
    <t>Nº DE RECEBIMENTOS</t>
  </si>
  <si>
    <t>TICKET MÉDIO</t>
  </si>
  <si>
    <t>MELHOR MÊS</t>
  </si>
  <si>
    <t>MAIOR CLIENTE</t>
  </si>
  <si>
    <t>jan a jun / 2026</t>
  </si>
  <si>
    <t>pagamentos no semestre</t>
  </si>
  <si>
    <t>Tabelas de apoio dos gráficos (fora da área de impressão)</t>
  </si>
  <si>
    <t>Mês</t>
  </si>
  <si>
    <t>Valor</t>
  </si>
  <si>
    <t>Mês (extenso)</t>
  </si>
  <si>
    <t>Região/UF</t>
  </si>
  <si>
    <t>Categoria</t>
  </si>
  <si>
    <t>Cliente</t>
  </si>
  <si>
    <t>Jan</t>
  </si>
  <si>
    <t>Janeiro</t>
  </si>
  <si>
    <t>Norte/PA</t>
  </si>
  <si>
    <t>Hortifruti</t>
  </si>
  <si>
    <t>Comercial Amazonas</t>
  </si>
  <si>
    <t>Fev</t>
  </si>
  <si>
    <t>Fevereiro</t>
  </si>
  <si>
    <t>Sudeste/SP</t>
  </si>
  <si>
    <t>Bebidas</t>
  </si>
  <si>
    <t>Bar e Restaurante Estrela do Sul</t>
  </si>
  <si>
    <t>Mar</t>
  </si>
  <si>
    <t>Março</t>
  </si>
  <si>
    <t>Nordeste/PE</t>
  </si>
  <si>
    <t>Mercearia</t>
  </si>
  <si>
    <t>Padaria e Confeitaria Trigo de Ouro</t>
  </si>
  <si>
    <t>Abr</t>
  </si>
  <si>
    <t>Abril</t>
  </si>
  <si>
    <t>Centro-Oeste/GO</t>
  </si>
  <si>
    <t>Congelados</t>
  </si>
  <si>
    <t>Mercearia Sao Joaquim</t>
  </si>
  <si>
    <t>Mai</t>
  </si>
  <si>
    <t>Maio</t>
  </si>
  <si>
    <t>Sul/RS</t>
  </si>
  <si>
    <t>Não identificado</t>
  </si>
  <si>
    <t>Emporio Vila Nova Ltda</t>
  </si>
  <si>
    <t>Jun</t>
  </si>
  <si>
    <t>Junho</t>
  </si>
  <si>
    <t>Nordeste/CE</t>
  </si>
  <si>
    <t>Higiene e Limpeza</t>
  </si>
  <si>
    <t>Rede Farmacias Popular</t>
  </si>
  <si>
    <t>Centro-Oeste/MT</t>
  </si>
  <si>
    <t>Frigorifico Vale Verde</t>
  </si>
  <si>
    <t>Mercadao Central</t>
  </si>
  <si>
    <t>Sul/PR</t>
  </si>
  <si>
    <t>Rede Supermercados Mais</t>
  </si>
  <si>
    <t>Norte/AM</t>
  </si>
  <si>
    <t>Distribuidora Bebidas Lopes</t>
  </si>
  <si>
    <t>Hortifruti Natural</t>
  </si>
  <si>
    <t>Atacado Uniao Comercial</t>
  </si>
  <si>
    <t>Adega Ponto do Vinho</t>
  </si>
  <si>
    <t>Supermercado Familia</t>
  </si>
  <si>
    <t>Resumo (cálculo auxiliar dos cartões)</t>
  </si>
  <si>
    <t>Total Recebido</t>
  </si>
  <si>
    <t>Nº de Recebimentos</t>
  </si>
  <si>
    <t>Ticket Médio</t>
  </si>
  <si>
    <t>Melhor Mês (nome / valor)</t>
  </si>
  <si>
    <t>Maior Cliente (nome / valor)</t>
  </si>
  <si>
    <t>Distribuidora Aurora Ltda - Controle de Recebimentos</t>
  </si>
  <si>
    <t>1o semestre de 2026 (janeiro a junho)</t>
  </si>
  <si>
    <t>Data</t>
  </si>
  <si>
    <t>Valor (R$)</t>
  </si>
  <si>
    <t>Forma de Pagamento</t>
  </si>
  <si>
    <t>Regiao/UF</t>
  </si>
  <si>
    <t>Boleto</t>
  </si>
  <si>
    <t>Pix</t>
  </si>
  <si>
    <t>Deposito</t>
  </si>
  <si>
    <t>Transferencia</t>
  </si>
  <si>
    <t>TED</t>
  </si>
  <si>
    <t>Cadastro de Clientes</t>
  </si>
  <si>
    <t>Base cadastral da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</si>
</sst>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b/>
      <sz val="20"/>
      <color rgb="FFF5EAF0"/>
      <name val="Calibri"/>
    </font>
    <font>
      <i/>
      <sz val="11"/>
      <color rgb="FFC9A8C9"/>
      <name val="Calibri"/>
    </font>
    <font>
      <b/>
      <sz val="10"/>
      <color rgb="FFF5EAF0"/>
      <name val="Calibri"/>
    </font>
    <font>
      <sz val="10"/>
      <color rgb="FFF5EAF0"/>
      <name val="Calibri"/>
    </font>
    <font>
      <b/>
      <sz val="10"/>
      <color rgb="FFC9A8C9"/>
      <name val="Calibri"/>
    </font>
    <font>
      <b/>
      <sz val="9"/>
      <color rgb="FFE5336B"/>
      <name val="Calibri"/>
    </font>
    <font>
      <b/>
      <sz val="16"/>
      <color rgb="FFF5EAF0"/>
      <name val="Calibri"/>
    </font>
    <font>
      <i/>
      <sz val="9"/>
      <color rgb="FFC9A8C9"/>
      <name val="Calibri"/>
    </font>
    <font>
      <b/>
      <sz val="9"/>
      <color rgb="FFFF9A2E"/>
      <name val="Calibri"/>
    </font>
    <font>
      <b/>
      <sz val="9"/>
      <color rgb="FFFFC93C"/>
      <name val="Calibri"/>
    </font>
    <font>
      <b/>
      <sz val="9"/>
      <color rgb="FF9B5DE5"/>
      <name val="Calibri"/>
    </font>
    <font>
      <b/>
      <sz val="9"/>
      <color rgb="FFE5383B"/>
      <name val="Calibri"/>
    </font>
    <font>
      <b/>
      <sz val="13"/>
      <color rgb="FFF5EAF0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241527"/>
      </patternFill>
    </fill>
    <fill>
      <patternFill patternType="solid">
        <fgColor rgb="FFE5336B"/>
      </patternFill>
    </fill>
    <fill>
      <patternFill patternType="solid">
        <fgColor rgb="FF2E1833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B1E3F"/>
      </left>
      <right style="thin">
        <color rgb="FF3B1E3F"/>
      </right>
      <top style="medium">
        <color rgb="FFE5336B"/>
      </top>
      <bottom style="thin">
        <color rgb="FF3B1E3F"/>
      </bottom>
      <diagonal/>
    </border>
    <border>
      <left style="thin">
        <color rgb="FF3B1E3F"/>
      </left>
      <right style="thin">
        <color rgb="FF3B1E3F"/>
      </right>
      <top style="thin">
        <color rgb="FF3B1E3F"/>
      </top>
      <bottom style="thin">
        <color rgb="FF3B1E3F"/>
      </bottom>
      <diagonal/>
    </border>
    <border>
      <left style="thin">
        <color rgb="FF3B1E3F"/>
      </left>
      <right style="thin">
        <color rgb="FF3B1E3F"/>
      </right>
      <top style="medium">
        <color rgb="FFFF9A2E"/>
      </top>
      <bottom style="thin">
        <color rgb="FF3B1E3F"/>
      </bottom>
      <diagonal/>
    </border>
    <border>
      <left style="thin">
        <color rgb="FF3B1E3F"/>
      </left>
      <right style="thin">
        <color rgb="FF3B1E3F"/>
      </right>
      <top style="medium">
        <color rgb="FFFFC93C"/>
      </top>
      <bottom style="thin">
        <color rgb="FF3B1E3F"/>
      </bottom>
      <diagonal/>
    </border>
    <border>
      <left style="thin">
        <color rgb="FF3B1E3F"/>
      </left>
      <right style="thin">
        <color rgb="FF3B1E3F"/>
      </right>
      <top style="medium">
        <color rgb="FF9B5DE5"/>
      </top>
      <bottom style="thin">
        <color rgb="FF3B1E3F"/>
      </bottom>
      <diagonal/>
    </border>
    <border>
      <left style="thin">
        <color rgb="FF3B1E3F"/>
      </left>
      <right style="thin">
        <color rgb="FF3B1E3F"/>
      </right>
      <top style="medium">
        <color rgb="FFE5383B"/>
      </top>
      <bottom style="thin">
        <color rgb="FF3B1E3F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0" fontId="0" fillId="3" borderId="0" xfId="0" applyFill="1"/>
    <xf numFmtId="0" fontId="0" fillId="4" borderId="0" xfId="0" applyFill="1"/>
    <xf numFmtId="0" fontId="8" fillId="4" borderId="0" xfId="0" applyFont="1" applyFill="1"/>
    <xf numFmtId="0" fontId="6" fillId="5" borderId="0" xfId="0" applyFont="1" applyFill="1"/>
    <xf numFmtId="0" fontId="7" fillId="6" borderId="0" xfId="0" applyFont="1" applyFill="1"/>
    <xf numFmtId="164" fontId="7" fillId="6" borderId="0" xfId="0" applyNumberFormat="1" applyFont="1" applyFill="1"/>
    <xf numFmtId="0" fontId="0" fillId="6" borderId="0" xfId="0" applyFill="1"/>
    <xf numFmtId="0" fontId="9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14" fillId="6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15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164" fontId="10" fillId="6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1" fontId="10" fillId="6" borderId="3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/>
    </xf>
    <xf numFmtId="44" fontId="7" fillId="6" borderId="0" xfId="1" applyFont="1" applyFill="1"/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F5EAF0"/>
                </a:solidFill>
              </a:defRPr>
            </a:pPr>
            <a:r>
              <a:rPr lang="pt-BR" sz="1300" b="1">
                <a:solidFill>
                  <a:srgbClr val="F5EAF0"/>
                </a:solidFill>
              </a:rPr>
              <a:t>Caixa por Mês (Jan–Jun)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Dashboard!$AC$67</c:f>
              <c:strCache>
                <c:ptCount val="1"/>
                <c:pt idx="0">
                  <c:v>Valor</c:v>
                </c:pt>
              </c:strCache>
            </c:strRef>
          </c:tx>
          <c:spPr>
            <a:ln w="28575">
              <a:solidFill>
                <a:srgbClr val="FF9A2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C93C"/>
              </a:solidFill>
              <a:ln>
                <a:solidFill>
                  <a:srgbClr val="E5383B"/>
                </a:solidFill>
                <a:prstDash val="solid"/>
              </a:ln>
            </c:spPr>
          </c:marker>
          <c:cat>
            <c:strRef>
              <c:f>Dashboard!$AB$68:$AB$73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Dashboard!$AC$68:$AC$73</c:f>
              <c:numCache>
                <c:formatCode>"R$"\ #,##0.00</c:formatCode>
                <c:ptCount val="6"/>
                <c:pt idx="0">
                  <c:v>631363.98</c:v>
                </c:pt>
                <c:pt idx="1">
                  <c:v>661449.66</c:v>
                </c:pt>
                <c:pt idx="2">
                  <c:v>719121.92999999993</c:v>
                </c:pt>
                <c:pt idx="3">
                  <c:v>864938.30999999994</c:v>
                </c:pt>
                <c:pt idx="4">
                  <c:v>599898.29</c:v>
                </c:pt>
                <c:pt idx="5">
                  <c:v>741426.84999999986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CE-4D3E-AB1F-C64DFFF67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C9A8C9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4A2E4E"/>
              </a:solidFill>
              <a:prstDash val="solid"/>
            </a:ln>
          </c:spPr>
        </c:majorGridlines>
        <c:numFmt formatCode="&quot;R$&quot;\ #,##0.00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C9A8C9"/>
                </a:solidFill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rgbClr val="2E1833"/>
        </a:solidFill>
        <a:ln>
          <a:prstDash val="solid"/>
        </a:ln>
      </c:spPr>
    </c:plotArea>
    <c:plotVisOnly val="1"/>
    <c:dispBlanksAs val="gap"/>
    <c:showDLblsOverMax val="1"/>
  </c:chart>
  <c:spPr>
    <a:solidFill>
      <a:srgbClr val="2E1833"/>
    </a:solidFill>
    <a:ln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F5EAF0"/>
                </a:solidFill>
              </a:defRPr>
            </a:pPr>
            <a:r>
              <a:rPr lang="pt-BR" sz="1300" b="1">
                <a:solidFill>
                  <a:srgbClr val="F5EAF0"/>
                </a:solidFill>
              </a:rPr>
              <a:t>Caixa por Região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Dashboard!$AG$67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rgbClr val="9B5DE5"/>
                </a:gs>
                <a:gs pos="100000">
                  <a:srgbClr val="E5336B"/>
                </a:gs>
              </a:gsLst>
              <a:lin ang="5400000" scaled="1"/>
            </a:gradFill>
            <a:ln>
              <a:noFill/>
              <a:prstDash val="solid"/>
            </a:ln>
          </c:spPr>
          <c:invertIfNegative val="1"/>
          <c:cat>
            <c:strRef>
              <c:f>Dashboard!$AF$68:$AF$77</c:f>
              <c:strCache>
                <c:ptCount val="10"/>
                <c:pt idx="0">
                  <c:v>Norte/PA</c:v>
                </c:pt>
                <c:pt idx="1">
                  <c:v>Sudeste/SP</c:v>
                </c:pt>
                <c:pt idx="2">
                  <c:v>Nordeste/PE</c:v>
                </c:pt>
                <c:pt idx="3">
                  <c:v>Centro-Oeste/GO</c:v>
                </c:pt>
                <c:pt idx="4">
                  <c:v>Sul/RS</c:v>
                </c:pt>
                <c:pt idx="5">
                  <c:v>Nordeste/CE</c:v>
                </c:pt>
                <c:pt idx="6">
                  <c:v>Centro-Oeste/MT</c:v>
                </c:pt>
                <c:pt idx="7">
                  <c:v>Não identificado</c:v>
                </c:pt>
                <c:pt idx="8">
                  <c:v>Sul/PR</c:v>
                </c:pt>
                <c:pt idx="9">
                  <c:v>Norte/AM</c:v>
                </c:pt>
              </c:strCache>
            </c:strRef>
          </c:cat>
          <c:val>
            <c:numRef>
              <c:f>Dashboard!$AG$68:$AG$77</c:f>
              <c:numCache>
                <c:formatCode>"R$"\ #,##0.00</c:formatCode>
                <c:ptCount val="10"/>
                <c:pt idx="0">
                  <c:v>1149147.31</c:v>
                </c:pt>
                <c:pt idx="1">
                  <c:v>948100.77999999991</c:v>
                </c:pt>
                <c:pt idx="2">
                  <c:v>885660.97</c:v>
                </c:pt>
                <c:pt idx="3">
                  <c:v>494431.98000000004</c:v>
                </c:pt>
                <c:pt idx="4">
                  <c:v>387431.18000000005</c:v>
                </c:pt>
                <c:pt idx="5">
                  <c:v>156261.91999999998</c:v>
                </c:pt>
                <c:pt idx="6">
                  <c:v>90588.11</c:v>
                </c:pt>
                <c:pt idx="7">
                  <c:v>58209.18</c:v>
                </c:pt>
                <c:pt idx="8">
                  <c:v>42199.5</c:v>
                </c:pt>
                <c:pt idx="9">
                  <c:v>6168.09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E-4DBA-946B-FB16E634E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C9A8C9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4A2E4E"/>
              </a:solidFill>
              <a:prstDash val="solid"/>
            </a:ln>
          </c:spPr>
        </c:majorGridlines>
        <c:numFmt formatCode="&quot;R$&quot;\ #,##0.00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C9A8C9"/>
                </a:solidFill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rgbClr val="2E1833"/>
        </a:solidFill>
        <a:ln>
          <a:prstDash val="solid"/>
        </a:ln>
      </c:spPr>
    </c:plotArea>
    <c:plotVisOnly val="1"/>
    <c:dispBlanksAs val="gap"/>
    <c:showDLblsOverMax val="1"/>
  </c:chart>
  <c:spPr>
    <a:solidFill>
      <a:srgbClr val="2E1833"/>
    </a:solidFill>
    <a:ln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F5EAF0"/>
                </a:solidFill>
              </a:defRPr>
            </a:pPr>
            <a:r>
              <a:rPr lang="pt-BR" sz="1300" b="1">
                <a:solidFill>
                  <a:srgbClr val="F5EAF0"/>
                </a:solidFill>
              </a:rPr>
              <a:t>Caixa por Categoria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Dashboard!$AJ$67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rgbClr val="FFC93C"/>
                </a:gs>
                <a:gs pos="100000">
                  <a:srgbClr val="E5383B"/>
                </a:gs>
              </a:gsLst>
              <a:lin ang="5400000" scaled="1"/>
            </a:gradFill>
            <a:ln>
              <a:noFill/>
              <a:prstDash val="solid"/>
            </a:ln>
          </c:spPr>
          <c:invertIfNegative val="1"/>
          <c:cat>
            <c:strRef>
              <c:f>Dashboard!$AI$68:$AI$73</c:f>
              <c:strCache>
                <c:ptCount val="6"/>
                <c:pt idx="0">
                  <c:v>Hortifruti</c:v>
                </c:pt>
                <c:pt idx="1">
                  <c:v>Bebidas</c:v>
                </c:pt>
                <c:pt idx="2">
                  <c:v>Mercearia</c:v>
                </c:pt>
                <c:pt idx="3">
                  <c:v>Congelados</c:v>
                </c:pt>
                <c:pt idx="4">
                  <c:v>Não identificado</c:v>
                </c:pt>
                <c:pt idx="5">
                  <c:v>Higiene e Limpeza</c:v>
                </c:pt>
              </c:strCache>
            </c:strRef>
          </c:cat>
          <c:val>
            <c:numRef>
              <c:f>Dashboard!$AJ$68:$AJ$73</c:f>
              <c:numCache>
                <c:formatCode>"R$"\ #,##0.00</c:formatCode>
                <c:ptCount val="6"/>
                <c:pt idx="0">
                  <c:v>1643579.29</c:v>
                </c:pt>
                <c:pt idx="1">
                  <c:v>1273092.1499999999</c:v>
                </c:pt>
                <c:pt idx="2">
                  <c:v>895164.33</c:v>
                </c:pt>
                <c:pt idx="3">
                  <c:v>299786.48</c:v>
                </c:pt>
                <c:pt idx="4">
                  <c:v>58209.18</c:v>
                </c:pt>
                <c:pt idx="5">
                  <c:v>48367.59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0-4F5F-8E6B-7477AD37D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C9A8C9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4A2E4E"/>
              </a:solidFill>
              <a:prstDash val="solid"/>
            </a:ln>
          </c:spPr>
        </c:majorGridlines>
        <c:numFmt formatCode="&quot;R$&quot;\ #,##0.00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C9A8C9"/>
                </a:solidFill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rgbClr val="2E1833"/>
        </a:solidFill>
        <a:ln>
          <a:prstDash val="solid"/>
        </a:ln>
      </c:spPr>
    </c:plotArea>
    <c:plotVisOnly val="1"/>
    <c:dispBlanksAs val="gap"/>
    <c:showDLblsOverMax val="1"/>
  </c:chart>
  <c:spPr>
    <a:solidFill>
      <a:srgbClr val="2E1833"/>
    </a:solidFill>
    <a:ln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F5EAF0"/>
                </a:solidFill>
              </a:defRPr>
            </a:pPr>
            <a:r>
              <a:rPr lang="pt-BR" sz="1300" b="1">
                <a:solidFill>
                  <a:srgbClr val="F5EAF0"/>
                </a:solidFill>
              </a:rPr>
              <a:t>Ranking de Clientes (maior → menor)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Dashboard!$AM$67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rgbClr val="FF9A2E"/>
                </a:gs>
                <a:gs pos="100000">
                  <a:srgbClr val="E5336B"/>
                </a:gs>
              </a:gsLst>
              <a:lin ang="0" scaled="1"/>
            </a:gradFill>
            <a:ln>
              <a:noFill/>
              <a:prstDash val="solid"/>
            </a:ln>
          </c:spPr>
          <c:invertIfNegative val="1"/>
          <c:cat>
            <c:strRef>
              <c:f>Dashboard!$AL$68:$AL$81</c:f>
              <c:strCache>
                <c:ptCount val="14"/>
                <c:pt idx="0">
                  <c:v>Comercial Amazonas</c:v>
                </c:pt>
                <c:pt idx="1">
                  <c:v>Bar e Restaurante Estrela do Sul</c:v>
                </c:pt>
                <c:pt idx="2">
                  <c:v>Padaria e Confeitaria Trigo de Ouro</c:v>
                </c:pt>
                <c:pt idx="3">
                  <c:v>Mercearia Sao Joaquim</c:v>
                </c:pt>
                <c:pt idx="4">
                  <c:v>Emporio Vila Nova Ltda</c:v>
                </c:pt>
                <c:pt idx="5">
                  <c:v>Rede Farmacias Popular</c:v>
                </c:pt>
                <c:pt idx="6">
                  <c:v>Frigorifico Vale Verde</c:v>
                </c:pt>
                <c:pt idx="7">
                  <c:v>Mercadao Central</c:v>
                </c:pt>
                <c:pt idx="8">
                  <c:v>Rede Supermercados Mais</c:v>
                </c:pt>
                <c:pt idx="9">
                  <c:v>Distribuidora Bebidas Lopes</c:v>
                </c:pt>
                <c:pt idx="10">
                  <c:v>Hortifruti Natural</c:v>
                </c:pt>
                <c:pt idx="11">
                  <c:v>Atacado Uniao Comercial</c:v>
                </c:pt>
                <c:pt idx="12">
                  <c:v>Adega Ponto do Vinho</c:v>
                </c:pt>
                <c:pt idx="13">
                  <c:v>Supermercado Familia</c:v>
                </c:pt>
              </c:strCache>
            </c:strRef>
          </c:cat>
          <c:val>
            <c:numRef>
              <c:f>Dashboard!$AM$68:$AM$81</c:f>
              <c:numCache>
                <c:formatCode>"R$"\ #,##0.00</c:formatCode>
                <c:ptCount val="14"/>
                <c:pt idx="0">
                  <c:v>6168.09</c:v>
                </c:pt>
                <c:pt idx="1">
                  <c:v>7040</c:v>
                </c:pt>
                <c:pt idx="2">
                  <c:v>8330</c:v>
                </c:pt>
                <c:pt idx="3">
                  <c:v>20567.47</c:v>
                </c:pt>
                <c:pt idx="4">
                  <c:v>22271.71</c:v>
                </c:pt>
                <c:pt idx="5">
                  <c:v>42199.5</c:v>
                </c:pt>
                <c:pt idx="6">
                  <c:v>90588.11</c:v>
                </c:pt>
                <c:pt idx="7">
                  <c:v>156261.91999999998</c:v>
                </c:pt>
                <c:pt idx="8">
                  <c:v>209198.37000000002</c:v>
                </c:pt>
                <c:pt idx="9">
                  <c:v>387431.18000000005</c:v>
                </c:pt>
                <c:pt idx="10">
                  <c:v>494431.98000000004</c:v>
                </c:pt>
                <c:pt idx="11">
                  <c:v>738902.41</c:v>
                </c:pt>
                <c:pt idx="12">
                  <c:v>885660.97</c:v>
                </c:pt>
                <c:pt idx="13">
                  <c:v>1149147.31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B-4C0F-BA48-D07811F57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C9A8C9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3175">
              <a:solidFill>
                <a:srgbClr val="4A2E4E"/>
              </a:solidFill>
              <a:prstDash val="solid"/>
            </a:ln>
          </c:spPr>
        </c:majorGridlines>
        <c:numFmt formatCode="&quot;R$&quot;\ #,##0.00" sourceLinked="1"/>
        <c:majorTickMark val="none"/>
        <c:minorTickMark val="none"/>
        <c:tickLblPos val="nextTo"/>
        <c:spPr>
          <a:ln>
            <a:solidFill>
              <a:srgbClr val="4A2E4E"/>
            </a:solidFill>
            <a:prstDash val="solid"/>
          </a:ln>
        </c:spPr>
        <c:txPr>
          <a:bodyPr rot="1800000" vert="horz" anchor="ctr" anchorCtr="0"/>
          <a:lstStyle/>
          <a:p>
            <a:pPr>
              <a:defRPr sz="900">
                <a:solidFill>
                  <a:srgbClr val="C9A8C9"/>
                </a:solidFill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rgbClr val="2E1833"/>
        </a:solidFill>
        <a:ln>
          <a:prstDash val="solid"/>
        </a:ln>
      </c:spPr>
    </c:plotArea>
    <c:plotVisOnly val="1"/>
    <c:dispBlanksAs val="gap"/>
    <c:showDLblsOverMax val="1"/>
  </c:chart>
  <c:spPr>
    <a:solidFill>
      <a:srgbClr val="2E1833"/>
    </a:solidFill>
    <a:ln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5580000" cy="309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10</xdr:row>
      <xdr:rowOff>0</xdr:rowOff>
    </xdr:from>
    <xdr:ext cx="5580000" cy="309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30</xdr:row>
      <xdr:rowOff>0</xdr:rowOff>
    </xdr:from>
    <xdr:ext cx="5580000" cy="309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30</xdr:row>
      <xdr:rowOff>0</xdr:rowOff>
    </xdr:from>
    <xdr:ext cx="5580000" cy="309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85"/>
  <sheetViews>
    <sheetView showGridLines="0" tabSelected="1" workbookViewId="0">
      <selection activeCell="V7" sqref="V7"/>
    </sheetView>
  </sheetViews>
  <sheetFormatPr defaultRowHeight="14.4" x14ac:dyDescent="0.3"/>
  <cols>
    <col min="1" max="1" width="2.21875" customWidth="1"/>
    <col min="2" max="20" width="9.33203125" customWidth="1"/>
    <col min="28" max="28" width="46.6640625" bestFit="1" customWidth="1"/>
    <col min="29" max="29" width="15" bestFit="1" customWidth="1"/>
    <col min="30" max="30" width="18.44140625" bestFit="1" customWidth="1"/>
    <col min="31" max="31" width="13.88671875" bestFit="1" customWidth="1"/>
    <col min="32" max="32" width="14.6640625" bestFit="1" customWidth="1"/>
    <col min="33" max="33" width="13.88671875" bestFit="1" customWidth="1"/>
    <col min="36" max="36" width="13.88671875" bestFit="1" customWidth="1"/>
    <col min="39" max="39" width="13.88671875" bestFit="1" customWidth="1"/>
  </cols>
  <sheetData>
    <row r="1" spans="1:20" ht="30" customHeight="1" x14ac:dyDescent="0.3">
      <c r="A1" s="8"/>
      <c r="B1" s="33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18" customHeight="1" x14ac:dyDescent="0.3">
      <c r="A2" s="8"/>
      <c r="B2" s="35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6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6.05" customHeight="1" x14ac:dyDescent="0.3">
      <c r="A5" s="8"/>
      <c r="B5" s="14" t="s">
        <v>2</v>
      </c>
      <c r="C5" s="15"/>
      <c r="D5" s="15"/>
      <c r="E5" s="16"/>
      <c r="F5" s="17" t="s">
        <v>3</v>
      </c>
      <c r="G5" s="18"/>
      <c r="H5" s="18"/>
      <c r="I5" s="16"/>
      <c r="J5" s="19" t="s">
        <v>4</v>
      </c>
      <c r="K5" s="20"/>
      <c r="L5" s="20"/>
      <c r="M5" s="16"/>
      <c r="N5" s="21" t="s">
        <v>5</v>
      </c>
      <c r="O5" s="22"/>
      <c r="P5" s="22"/>
      <c r="Q5" s="16"/>
      <c r="R5" s="23" t="s">
        <v>6</v>
      </c>
      <c r="S5" s="24"/>
      <c r="T5" s="24"/>
    </row>
    <row r="6" spans="1:20" ht="24" customHeight="1" x14ac:dyDescent="0.3">
      <c r="A6" s="8"/>
      <c r="B6" s="25">
        <f>Dashboard!$AC$81</f>
        <v>4218199.0200000005</v>
      </c>
      <c r="C6" s="26"/>
      <c r="D6" s="26"/>
      <c r="E6" s="16"/>
      <c r="F6" s="27">
        <f>Dashboard!$AC$82</f>
        <v>222</v>
      </c>
      <c r="G6" s="26"/>
      <c r="H6" s="26"/>
      <c r="I6" s="16"/>
      <c r="J6" s="25">
        <f>Dashboard!$AC$83</f>
        <v>19000.89648648649</v>
      </c>
      <c r="K6" s="26"/>
      <c r="L6" s="26"/>
      <c r="M6" s="16"/>
      <c r="N6" s="28" t="str">
        <f>Dashboard!$AD$84</f>
        <v>Abril</v>
      </c>
      <c r="O6" s="26"/>
      <c r="P6" s="26"/>
      <c r="Q6" s="16"/>
      <c r="R6" s="29" t="str">
        <f>Dashboard!$AD$85</f>
        <v>Supermercado Familia</v>
      </c>
      <c r="S6" s="26"/>
      <c r="T6" s="26"/>
    </row>
    <row r="7" spans="1:20" ht="7.95" customHeight="1" x14ac:dyDescent="0.3">
      <c r="A7" s="8"/>
      <c r="B7" s="26"/>
      <c r="C7" s="26"/>
      <c r="D7" s="26"/>
      <c r="E7" s="16"/>
      <c r="F7" s="26"/>
      <c r="G7" s="26"/>
      <c r="H7" s="26"/>
      <c r="I7" s="16"/>
      <c r="J7" s="26"/>
      <c r="K7" s="26"/>
      <c r="L7" s="26"/>
      <c r="M7" s="16"/>
      <c r="N7" s="26"/>
      <c r="O7" s="26"/>
      <c r="P7" s="26"/>
      <c r="Q7" s="16"/>
      <c r="R7" s="26"/>
      <c r="S7" s="26"/>
      <c r="T7" s="26"/>
    </row>
    <row r="8" spans="1:20" ht="16.05" customHeight="1" x14ac:dyDescent="0.3">
      <c r="A8" s="8"/>
      <c r="B8" s="30" t="s">
        <v>7</v>
      </c>
      <c r="C8" s="26"/>
      <c r="D8" s="26"/>
      <c r="E8" s="16"/>
      <c r="F8" s="30" t="s">
        <v>8</v>
      </c>
      <c r="G8" s="26"/>
      <c r="H8" s="26"/>
      <c r="I8" s="16"/>
      <c r="J8" s="30" t="str">
        <f>"por recebimento ("&amp;Dashboard!$AC$82&amp;" pagtos)"</f>
        <v>por recebimento (222 pagtos)</v>
      </c>
      <c r="K8" s="26"/>
      <c r="L8" s="26"/>
      <c r="M8" s="16"/>
      <c r="N8" s="31">
        <f>Dashboard!$AE$84</f>
        <v>864938.30999999994</v>
      </c>
      <c r="O8" s="26"/>
      <c r="P8" s="26"/>
      <c r="Q8" s="16"/>
      <c r="R8" s="31">
        <f>Dashboard!$AE$85</f>
        <v>1149147.31</v>
      </c>
      <c r="S8" s="26"/>
      <c r="T8" s="26"/>
    </row>
    <row r="9" spans="1:20" ht="7.9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7.9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39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39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AB66" s="9" t="s">
        <v>9</v>
      </c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AB67" s="10" t="s">
        <v>10</v>
      </c>
      <c r="AC67" s="10" t="s">
        <v>11</v>
      </c>
      <c r="AD67" s="10" t="s">
        <v>12</v>
      </c>
      <c r="AE67" s="8"/>
      <c r="AF67" s="10" t="s">
        <v>13</v>
      </c>
      <c r="AG67" s="10" t="s">
        <v>11</v>
      </c>
      <c r="AH67" s="8"/>
      <c r="AI67" s="10" t="s">
        <v>14</v>
      </c>
      <c r="AJ67" s="10" t="s">
        <v>11</v>
      </c>
      <c r="AK67" s="8"/>
      <c r="AL67" s="10" t="s">
        <v>15</v>
      </c>
      <c r="AM67" s="10" t="s">
        <v>11</v>
      </c>
    </row>
    <row r="68" spans="1:39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AB68" s="11" t="s">
        <v>16</v>
      </c>
      <c r="AC68" s="12">
        <f>SUMPRODUCT((MONTH(Recebimentos!$A$5:$A$226)=1)*Recebimentos!$C$5:$C$226)</f>
        <v>631363.98</v>
      </c>
      <c r="AD68" s="11" t="s">
        <v>17</v>
      </c>
      <c r="AE68" s="8"/>
      <c r="AF68" s="11" t="s">
        <v>18</v>
      </c>
      <c r="AG68" s="12">
        <f>SUMIF(Recebimentos!$E$5:$E$226,"Norte/PA",Recebimentos!$C$5:$C$226)</f>
        <v>1149147.31</v>
      </c>
      <c r="AH68" s="8"/>
      <c r="AI68" s="11" t="s">
        <v>19</v>
      </c>
      <c r="AJ68" s="12">
        <f>SUMIF(Recebimentos!$F$5:$F$226,"Hortifruti",Recebimentos!$C$5:$C$226)</f>
        <v>1643579.29</v>
      </c>
      <c r="AK68" s="8"/>
      <c r="AL68" s="11" t="s">
        <v>20</v>
      </c>
      <c r="AM68" s="12">
        <f>SUMIF(Recebimentos!$B$5:$B$226,"Comercial Amazonas",Recebimentos!$C$5:$C$226)</f>
        <v>6168.09</v>
      </c>
    </row>
    <row r="69" spans="1:39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AB69" s="11" t="s">
        <v>21</v>
      </c>
      <c r="AC69" s="12">
        <f>SUMPRODUCT((MONTH(Recebimentos!$A$5:$A$226)=2)*Recebimentos!$C$5:$C$226)</f>
        <v>661449.66</v>
      </c>
      <c r="AD69" s="11" t="s">
        <v>22</v>
      </c>
      <c r="AE69" s="8"/>
      <c r="AF69" s="11" t="s">
        <v>23</v>
      </c>
      <c r="AG69" s="12">
        <f>SUMIF(Recebimentos!$E$5:$E$226,"Sudeste/SP",Recebimentos!$C$5:$C$226)</f>
        <v>948100.77999999991</v>
      </c>
      <c r="AH69" s="8"/>
      <c r="AI69" s="11" t="s">
        <v>24</v>
      </c>
      <c r="AJ69" s="12">
        <f>SUMIF(Recebimentos!$F$5:$F$226,"Bebidas",Recebimentos!$C$5:$C$226)</f>
        <v>1273092.1499999999</v>
      </c>
      <c r="AK69" s="8"/>
      <c r="AL69" s="11" t="s">
        <v>25</v>
      </c>
      <c r="AM69" s="12">
        <f>SUMIF(Recebimentos!$B$5:$B$226,"Bar e Restaurante Estrela do Sul",Recebimentos!$C$5:$C$226)</f>
        <v>7040</v>
      </c>
    </row>
    <row r="70" spans="1:39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AB70" s="11" t="s">
        <v>26</v>
      </c>
      <c r="AC70" s="12">
        <f>SUMPRODUCT((MONTH(Recebimentos!$A$5:$A$226)=3)*Recebimentos!$C$5:$C$226)</f>
        <v>719121.92999999993</v>
      </c>
      <c r="AD70" s="11" t="s">
        <v>27</v>
      </c>
      <c r="AE70" s="8"/>
      <c r="AF70" s="11" t="s">
        <v>28</v>
      </c>
      <c r="AG70" s="12">
        <f>SUMIF(Recebimentos!$E$5:$E$226,"Nordeste/PE",Recebimentos!$C$5:$C$226)</f>
        <v>885660.97</v>
      </c>
      <c r="AH70" s="8"/>
      <c r="AI70" s="11" t="s">
        <v>29</v>
      </c>
      <c r="AJ70" s="12">
        <f>SUMIF(Recebimentos!$F$5:$F$226,"Mercearia",Recebimentos!$C$5:$C$226)</f>
        <v>895164.33</v>
      </c>
      <c r="AK70" s="8"/>
      <c r="AL70" s="11" t="s">
        <v>30</v>
      </c>
      <c r="AM70" s="12">
        <f>SUMIF(Recebimentos!$B$5:$B$226,"Padaria e Confeitaria Trigo de Ouro",Recebimentos!$C$5:$C$226)</f>
        <v>8330</v>
      </c>
    </row>
    <row r="71" spans="1:39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AB71" s="11" t="s">
        <v>31</v>
      </c>
      <c r="AC71" s="12">
        <f>SUMPRODUCT((MONTH(Recebimentos!$A$5:$A$226)=4)*Recebimentos!$C$5:$C$226)</f>
        <v>864938.30999999994</v>
      </c>
      <c r="AD71" s="11" t="s">
        <v>32</v>
      </c>
      <c r="AE71" s="8"/>
      <c r="AF71" s="11" t="s">
        <v>33</v>
      </c>
      <c r="AG71" s="12">
        <f>SUMIF(Recebimentos!$E$5:$E$226,"Centro-Oeste/GO",Recebimentos!$C$5:$C$226)</f>
        <v>494431.98000000004</v>
      </c>
      <c r="AH71" s="8"/>
      <c r="AI71" s="11" t="s">
        <v>34</v>
      </c>
      <c r="AJ71" s="12">
        <f>SUMIF(Recebimentos!$F$5:$F$226,"Congelados",Recebimentos!$C$5:$C$226)</f>
        <v>299786.48</v>
      </c>
      <c r="AK71" s="8"/>
      <c r="AL71" s="11" t="s">
        <v>35</v>
      </c>
      <c r="AM71" s="12">
        <f>SUMIF(Recebimentos!$B$5:$B$226,"Mercearia Sao Joaquim",Recebimentos!$C$5:$C$226)</f>
        <v>20567.47</v>
      </c>
    </row>
    <row r="72" spans="1:39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AB72" s="11" t="s">
        <v>36</v>
      </c>
      <c r="AC72" s="12">
        <f>SUMPRODUCT((MONTH(Recebimentos!$A$5:$A$226)=5)*Recebimentos!$C$5:$C$226)</f>
        <v>599898.29</v>
      </c>
      <c r="AD72" s="11" t="s">
        <v>37</v>
      </c>
      <c r="AE72" s="8"/>
      <c r="AF72" s="11" t="s">
        <v>38</v>
      </c>
      <c r="AG72" s="12">
        <f>SUMIF(Recebimentos!$E$5:$E$226,"Sul/RS",Recebimentos!$C$5:$C$226)</f>
        <v>387431.18000000005</v>
      </c>
      <c r="AH72" s="8"/>
      <c r="AI72" s="11" t="s">
        <v>39</v>
      </c>
      <c r="AJ72" s="12">
        <f>SUMIF(Recebimentos!$F$5:$F$226,"",Recebimentos!$C$5:$C$226)</f>
        <v>58209.18</v>
      </c>
      <c r="AK72" s="8"/>
      <c r="AL72" s="11" t="s">
        <v>40</v>
      </c>
      <c r="AM72" s="12">
        <f>SUMIF(Recebimentos!$B$5:$B$226,"Emporio Vila Nova Ltda",Recebimentos!$C$5:$C$226)</f>
        <v>22271.71</v>
      </c>
    </row>
    <row r="73" spans="1:39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AB73" s="11" t="s">
        <v>41</v>
      </c>
      <c r="AC73" s="12">
        <f>SUMPRODUCT((MONTH(Recebimentos!$A$5:$A$226)=6)*Recebimentos!$C$5:$C$226)</f>
        <v>741426.84999999986</v>
      </c>
      <c r="AD73" s="11" t="s">
        <v>42</v>
      </c>
      <c r="AE73" s="8"/>
      <c r="AF73" s="11" t="s">
        <v>43</v>
      </c>
      <c r="AG73" s="12">
        <f>SUMIF(Recebimentos!$E$5:$E$226,"Nordeste/CE",Recebimentos!$C$5:$C$226)</f>
        <v>156261.91999999998</v>
      </c>
      <c r="AH73" s="8"/>
      <c r="AI73" s="11" t="s">
        <v>44</v>
      </c>
      <c r="AJ73" s="12">
        <f>SUMIF(Recebimentos!$F$5:$F$226,"Higiene e Limpeza",Recebimentos!$C$5:$C$226)</f>
        <v>48367.59</v>
      </c>
      <c r="AK73" s="8"/>
      <c r="AL73" s="11" t="s">
        <v>45</v>
      </c>
      <c r="AM73" s="12">
        <f>SUMIF(Recebimentos!$B$5:$B$226,"Rede Farmacias Popular",Recebimentos!$C$5:$C$226)</f>
        <v>42199.5</v>
      </c>
    </row>
    <row r="74" spans="1:39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AB74" s="8"/>
      <c r="AC74" s="8"/>
      <c r="AD74" s="8"/>
      <c r="AE74" s="8"/>
      <c r="AF74" s="11" t="s">
        <v>46</v>
      </c>
      <c r="AG74" s="12">
        <f>SUMIF(Recebimentos!$E$5:$E$226,"Centro-Oeste/MT",Recebimentos!$C$5:$C$226)</f>
        <v>90588.11</v>
      </c>
      <c r="AH74" s="8"/>
      <c r="AI74" s="8"/>
      <c r="AJ74" s="8"/>
      <c r="AK74" s="8"/>
      <c r="AL74" s="11" t="s">
        <v>47</v>
      </c>
      <c r="AM74" s="12">
        <f>SUMIF(Recebimentos!$B$5:$B$226,"Frigorifico Vale Verde",Recebimentos!$C$5:$C$226)</f>
        <v>90588.11</v>
      </c>
    </row>
    <row r="75" spans="1:39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AB75" s="8"/>
      <c r="AC75" s="8"/>
      <c r="AD75" s="8"/>
      <c r="AE75" s="8"/>
      <c r="AF75" s="11" t="s">
        <v>39</v>
      </c>
      <c r="AG75" s="12">
        <f>SUMIF(Recebimentos!$E$5:$E$226,"",Recebimentos!$C$5:$C$226)</f>
        <v>58209.18</v>
      </c>
      <c r="AH75" s="8"/>
      <c r="AI75" s="8"/>
      <c r="AJ75" s="8"/>
      <c r="AK75" s="8"/>
      <c r="AL75" s="11" t="s">
        <v>48</v>
      </c>
      <c r="AM75" s="12">
        <f>SUMIF(Recebimentos!$B$5:$B$226,"Mercadao Central",Recebimentos!$C$5:$C$226)</f>
        <v>156261.91999999998</v>
      </c>
    </row>
    <row r="76" spans="1:39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AB76" s="8"/>
      <c r="AC76" s="8"/>
      <c r="AD76" s="8"/>
      <c r="AE76" s="8"/>
      <c r="AF76" s="11" t="s">
        <v>49</v>
      </c>
      <c r="AG76" s="12">
        <f>SUMIF(Recebimentos!$E$5:$E$226,"Sul/PR",Recebimentos!$C$5:$C$226)</f>
        <v>42199.5</v>
      </c>
      <c r="AH76" s="8"/>
      <c r="AI76" s="8"/>
      <c r="AJ76" s="8"/>
      <c r="AK76" s="8"/>
      <c r="AL76" s="11" t="s">
        <v>50</v>
      </c>
      <c r="AM76" s="12">
        <f>SUMIF(Recebimentos!$B$5:$B$226,"Rede Supermercados Mais",Recebimentos!$C$5:$C$226)</f>
        <v>209198.37000000002</v>
      </c>
    </row>
    <row r="77" spans="1:39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AB77" s="8"/>
      <c r="AC77" s="8"/>
      <c r="AD77" s="8"/>
      <c r="AE77" s="8"/>
      <c r="AF77" s="11" t="s">
        <v>51</v>
      </c>
      <c r="AG77" s="12">
        <f>SUMIF(Recebimentos!$E$5:$E$226,"Norte/AM",Recebimentos!$C$5:$C$226)</f>
        <v>6168.09</v>
      </c>
      <c r="AH77" s="8"/>
      <c r="AI77" s="8"/>
      <c r="AJ77" s="8"/>
      <c r="AK77" s="8"/>
      <c r="AL77" s="11" t="s">
        <v>52</v>
      </c>
      <c r="AM77" s="12">
        <f>SUMIF(Recebimentos!$B$5:$B$226,"Distribuidora Bebidas Lopes",Recebimentos!$C$5:$C$226)</f>
        <v>387431.18000000005</v>
      </c>
    </row>
    <row r="78" spans="1:39" x14ac:dyDescent="0.3"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11" t="s">
        <v>53</v>
      </c>
      <c r="AM78" s="12">
        <f>SUMIF(Recebimentos!$B$5:$B$226,"Hortifruti Natural",Recebimentos!$C$5:$C$226)</f>
        <v>494431.98000000004</v>
      </c>
    </row>
    <row r="79" spans="1:39" x14ac:dyDescent="0.3"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11" t="s">
        <v>54</v>
      </c>
      <c r="AM79" s="12">
        <f>SUMIF(Recebimentos!$B$5:$B$226,"Atacado Uniao Comercial",Recebimentos!$C$5:$C$226)</f>
        <v>738902.41</v>
      </c>
    </row>
    <row r="80" spans="1:39" x14ac:dyDescent="0.3">
      <c r="AB80" s="9" t="s">
        <v>57</v>
      </c>
      <c r="AC80" s="8"/>
      <c r="AD80" s="8"/>
      <c r="AE80" s="8"/>
      <c r="AF80" s="8"/>
      <c r="AG80" s="8"/>
      <c r="AH80" s="8"/>
      <c r="AI80" s="8"/>
      <c r="AJ80" s="8"/>
      <c r="AK80" s="8"/>
      <c r="AL80" s="11" t="s">
        <v>55</v>
      </c>
      <c r="AM80" s="12">
        <f>SUMIF(Recebimentos!$B$5:$B$226,"Adega Ponto do Vinho",Recebimentos!$C$5:$C$226)</f>
        <v>885660.97</v>
      </c>
    </row>
    <row r="81" spans="28:39" x14ac:dyDescent="0.3">
      <c r="AB81" s="11" t="s">
        <v>58</v>
      </c>
      <c r="AC81" s="32">
        <f>SUM(Recebimentos!$C$5:$C$226)</f>
        <v>4218199.0200000005</v>
      </c>
      <c r="AD81" s="13"/>
      <c r="AE81" s="13"/>
      <c r="AF81" s="8"/>
      <c r="AG81" s="8"/>
      <c r="AH81" s="8"/>
      <c r="AI81" s="8"/>
      <c r="AJ81" s="8"/>
      <c r="AK81" s="8"/>
      <c r="AL81" s="11" t="s">
        <v>56</v>
      </c>
      <c r="AM81" s="12">
        <f>SUMIF(Recebimentos!$B$5:$B$226,"Supermercado Familia",Recebimentos!$C$5:$C$226)</f>
        <v>1149147.31</v>
      </c>
    </row>
    <row r="82" spans="28:39" x14ac:dyDescent="0.3">
      <c r="AB82" s="11" t="s">
        <v>59</v>
      </c>
      <c r="AC82" s="11">
        <f>COUNT(Recebimentos!$C$5:$C$226)</f>
        <v>222</v>
      </c>
      <c r="AD82" s="13"/>
      <c r="AE82" s="13"/>
      <c r="AF82" s="8"/>
      <c r="AG82" s="8"/>
      <c r="AH82" s="8"/>
      <c r="AI82" s="8"/>
      <c r="AJ82" s="8"/>
      <c r="AK82" s="8"/>
      <c r="AL82" s="8"/>
      <c r="AM82" s="8"/>
    </row>
    <row r="83" spans="28:39" x14ac:dyDescent="0.3">
      <c r="AB83" s="11" t="s">
        <v>60</v>
      </c>
      <c r="AC83" s="32">
        <f>$AC$81/$AC$82</f>
        <v>19000.89648648649</v>
      </c>
      <c r="AD83" s="13"/>
      <c r="AE83" s="13"/>
      <c r="AF83" s="8"/>
      <c r="AG83" s="8"/>
      <c r="AH83" s="8"/>
      <c r="AI83" s="8"/>
      <c r="AJ83" s="8"/>
      <c r="AK83" s="8"/>
      <c r="AL83" s="8"/>
      <c r="AM83" s="8"/>
    </row>
    <row r="84" spans="28:39" x14ac:dyDescent="0.3">
      <c r="AB84" s="11" t="s">
        <v>61</v>
      </c>
      <c r="AC84" s="13"/>
      <c r="AD84" s="11" t="str">
        <f>INDEX($AD$68:$AD$73,MATCH(MAX($AC$68:$AC$73),$AC$68:$AC$73,0))</f>
        <v>Abril</v>
      </c>
      <c r="AE84" s="12">
        <f>MAX($AC$68:$AC$73)</f>
        <v>864938.30999999994</v>
      </c>
      <c r="AF84" s="8"/>
      <c r="AG84" s="8"/>
      <c r="AH84" s="8"/>
      <c r="AI84" s="8"/>
      <c r="AJ84" s="8"/>
      <c r="AK84" s="8"/>
      <c r="AL84" s="8"/>
      <c r="AM84" s="8"/>
    </row>
    <row r="85" spans="28:39" x14ac:dyDescent="0.3">
      <c r="AB85" s="11" t="s">
        <v>62</v>
      </c>
      <c r="AC85" s="13"/>
      <c r="AD85" s="11" t="str">
        <f>INDEX($AL$68:$AL$81,MATCH(MAX($AM$68:$AM$81),$AM$68:$AM$81,0))</f>
        <v>Supermercado Familia</v>
      </c>
      <c r="AE85" s="12">
        <f>MAX($AM$68:$AM$81)</f>
        <v>1149147.31</v>
      </c>
      <c r="AF85" s="8"/>
      <c r="AG85" s="8"/>
      <c r="AH85" s="8"/>
      <c r="AI85" s="8"/>
      <c r="AJ85" s="8"/>
      <c r="AK85" s="8"/>
      <c r="AL85" s="8"/>
      <c r="AM85" s="8"/>
    </row>
  </sheetData>
  <mergeCells count="17">
    <mergeCell ref="B8:D8"/>
    <mergeCell ref="R5:T5"/>
    <mergeCell ref="B1:T1"/>
    <mergeCell ref="F8:H8"/>
    <mergeCell ref="J8:L8"/>
    <mergeCell ref="N5:P5"/>
    <mergeCell ref="N8:P8"/>
    <mergeCell ref="R8:T8"/>
    <mergeCell ref="B2:T2"/>
    <mergeCell ref="N6:P7"/>
    <mergeCell ref="J5:L5"/>
    <mergeCell ref="R6:T7"/>
    <mergeCell ref="B5:D5"/>
    <mergeCell ref="B6:D7"/>
    <mergeCell ref="F5:H5"/>
    <mergeCell ref="F6:H7"/>
    <mergeCell ref="J6:L7"/>
  </mergeCells>
  <pageMargins left="0.3" right="0.3" top="0.3" bottom="0.3" header="0" footer="0"/>
  <pageSetup orientation="landscape"/>
  <rowBreaks count="1" manualBreakCount="1">
    <brk id="5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32" customWidth="1"/>
    <col min="3" max="3" width="14" customWidth="1"/>
    <col min="4" max="4" width="20" customWidth="1"/>
    <col min="5" max="5" width="18" customWidth="1"/>
    <col min="6" max="6" width="20" customWidth="1"/>
  </cols>
  <sheetData>
    <row r="1" spans="1:6" ht="18" x14ac:dyDescent="0.35">
      <c r="A1" s="1" t="s">
        <v>63</v>
      </c>
    </row>
    <row r="2" spans="1:6" x14ac:dyDescent="0.3">
      <c r="A2" s="2" t="s">
        <v>64</v>
      </c>
    </row>
    <row r="4" spans="1:6" x14ac:dyDescent="0.3">
      <c r="A4" s="3" t="s">
        <v>65</v>
      </c>
      <c r="B4" s="3" t="s">
        <v>15</v>
      </c>
      <c r="C4" s="3" t="s">
        <v>66</v>
      </c>
      <c r="D4" s="3" t="s">
        <v>67</v>
      </c>
      <c r="E4" s="3" t="s">
        <v>68</v>
      </c>
      <c r="F4" s="3" t="s">
        <v>14</v>
      </c>
    </row>
    <row r="5" spans="1:6" x14ac:dyDescent="0.3">
      <c r="A5" s="5">
        <v>46023</v>
      </c>
      <c r="B5" t="s">
        <v>54</v>
      </c>
      <c r="C5" s="6">
        <v>19870</v>
      </c>
      <c r="D5" t="s">
        <v>69</v>
      </c>
      <c r="E5" t="s">
        <v>23</v>
      </c>
      <c r="F5" t="s">
        <v>29</v>
      </c>
    </row>
    <row r="6" spans="1:6" x14ac:dyDescent="0.3">
      <c r="A6" s="5">
        <v>46027</v>
      </c>
      <c r="B6" t="s">
        <v>56</v>
      </c>
      <c r="C6" s="6">
        <v>14870</v>
      </c>
      <c r="D6" t="s">
        <v>69</v>
      </c>
      <c r="E6" t="s">
        <v>18</v>
      </c>
      <c r="F6" t="s">
        <v>19</v>
      </c>
    </row>
    <row r="7" spans="1:6" x14ac:dyDescent="0.3">
      <c r="A7" s="5">
        <v>46028</v>
      </c>
      <c r="B7" t="s">
        <v>53</v>
      </c>
      <c r="C7" s="6">
        <v>32588.48</v>
      </c>
      <c r="D7" t="s">
        <v>70</v>
      </c>
      <c r="E7" t="s">
        <v>33</v>
      </c>
      <c r="F7" t="s">
        <v>19</v>
      </c>
    </row>
    <row r="8" spans="1:6" x14ac:dyDescent="0.3">
      <c r="A8" s="5">
        <v>46030</v>
      </c>
      <c r="B8" t="s">
        <v>52</v>
      </c>
      <c r="C8" s="6">
        <v>21750</v>
      </c>
      <c r="D8" t="s">
        <v>70</v>
      </c>
      <c r="E8" t="s">
        <v>38</v>
      </c>
      <c r="F8" t="s">
        <v>24</v>
      </c>
    </row>
    <row r="9" spans="1:6" x14ac:dyDescent="0.3">
      <c r="A9" s="5">
        <v>46033</v>
      </c>
      <c r="B9" t="s">
        <v>55</v>
      </c>
      <c r="C9" s="6">
        <v>51323.96</v>
      </c>
      <c r="D9" t="s">
        <v>69</v>
      </c>
      <c r="E9" t="s">
        <v>28</v>
      </c>
      <c r="F9" t="s">
        <v>24</v>
      </c>
    </row>
    <row r="10" spans="1:6" x14ac:dyDescent="0.3">
      <c r="A10" s="5">
        <v>46034</v>
      </c>
      <c r="B10" t="s">
        <v>53</v>
      </c>
      <c r="C10" s="6">
        <v>5350</v>
      </c>
      <c r="D10" t="s">
        <v>71</v>
      </c>
      <c r="E10" t="s">
        <v>33</v>
      </c>
      <c r="F10" t="s">
        <v>19</v>
      </c>
    </row>
    <row r="11" spans="1:6" x14ac:dyDescent="0.3">
      <c r="A11" s="5">
        <v>46035</v>
      </c>
      <c r="B11" t="s">
        <v>56</v>
      </c>
      <c r="C11" s="6">
        <v>12800</v>
      </c>
      <c r="D11" t="s">
        <v>70</v>
      </c>
      <c r="E11" t="s">
        <v>18</v>
      </c>
      <c r="F11" t="s">
        <v>19</v>
      </c>
    </row>
    <row r="12" spans="1:6" x14ac:dyDescent="0.3">
      <c r="A12" s="5">
        <v>46035</v>
      </c>
      <c r="B12" t="s">
        <v>45</v>
      </c>
      <c r="C12" s="6">
        <v>8179.8</v>
      </c>
      <c r="D12" t="s">
        <v>69</v>
      </c>
      <c r="E12" t="s">
        <v>49</v>
      </c>
      <c r="F12" t="s">
        <v>44</v>
      </c>
    </row>
    <row r="13" spans="1:6" x14ac:dyDescent="0.3">
      <c r="A13" s="5">
        <v>46035</v>
      </c>
      <c r="B13" t="s">
        <v>56</v>
      </c>
      <c r="C13" s="6">
        <v>17910</v>
      </c>
      <c r="D13" t="s">
        <v>69</v>
      </c>
      <c r="E13" t="s">
        <v>18</v>
      </c>
      <c r="F13" t="s">
        <v>19</v>
      </c>
    </row>
    <row r="14" spans="1:6" x14ac:dyDescent="0.3">
      <c r="A14" s="5">
        <v>46035</v>
      </c>
      <c r="B14" t="s">
        <v>54</v>
      </c>
      <c r="C14" s="6">
        <v>18200</v>
      </c>
      <c r="D14" t="s">
        <v>69</v>
      </c>
      <c r="E14" t="s">
        <v>23</v>
      </c>
      <c r="F14" t="s">
        <v>29</v>
      </c>
    </row>
    <row r="15" spans="1:6" x14ac:dyDescent="0.3">
      <c r="A15" s="5">
        <v>46035</v>
      </c>
      <c r="B15" t="s">
        <v>50</v>
      </c>
      <c r="C15" s="6">
        <v>41510</v>
      </c>
      <c r="D15" t="s">
        <v>70</v>
      </c>
      <c r="E15" t="s">
        <v>23</v>
      </c>
      <c r="F15" t="s">
        <v>34</v>
      </c>
    </row>
    <row r="16" spans="1:6" x14ac:dyDescent="0.3">
      <c r="A16" s="5">
        <v>46036</v>
      </c>
      <c r="B16" t="s">
        <v>48</v>
      </c>
      <c r="C16" s="6">
        <v>6510</v>
      </c>
      <c r="D16" t="s">
        <v>70</v>
      </c>
      <c r="E16" t="s">
        <v>43</v>
      </c>
      <c r="F16" t="s">
        <v>29</v>
      </c>
    </row>
    <row r="17" spans="1:6" x14ac:dyDescent="0.3">
      <c r="A17" s="5">
        <v>46036</v>
      </c>
      <c r="B17" t="s">
        <v>55</v>
      </c>
      <c r="C17" s="6">
        <v>7481.72</v>
      </c>
      <c r="D17" t="s">
        <v>70</v>
      </c>
      <c r="E17" t="s">
        <v>28</v>
      </c>
      <c r="F17" t="s">
        <v>24</v>
      </c>
    </row>
    <row r="18" spans="1:6" x14ac:dyDescent="0.3">
      <c r="A18" s="5">
        <v>46037</v>
      </c>
      <c r="B18" t="s">
        <v>47</v>
      </c>
      <c r="C18" s="6">
        <v>5704.87</v>
      </c>
      <c r="D18" t="s">
        <v>70</v>
      </c>
      <c r="E18" t="s">
        <v>46</v>
      </c>
      <c r="F18" t="s">
        <v>34</v>
      </c>
    </row>
    <row r="19" spans="1:6" x14ac:dyDescent="0.3">
      <c r="A19" s="5">
        <v>46038</v>
      </c>
      <c r="B19" t="s">
        <v>52</v>
      </c>
      <c r="C19" s="6">
        <v>11250</v>
      </c>
      <c r="D19" t="s">
        <v>70</v>
      </c>
      <c r="E19" t="s">
        <v>38</v>
      </c>
      <c r="F19" t="s">
        <v>24</v>
      </c>
    </row>
    <row r="20" spans="1:6" x14ac:dyDescent="0.3">
      <c r="A20" s="5">
        <v>46038</v>
      </c>
      <c r="B20" t="s">
        <v>56</v>
      </c>
      <c r="C20" s="6">
        <v>8040</v>
      </c>
      <c r="D20" t="s">
        <v>69</v>
      </c>
      <c r="E20" t="s">
        <v>18</v>
      </c>
      <c r="F20" t="s">
        <v>19</v>
      </c>
    </row>
    <row r="21" spans="1:6" x14ac:dyDescent="0.3">
      <c r="A21" s="5">
        <v>46038</v>
      </c>
      <c r="B21" t="s">
        <v>52</v>
      </c>
      <c r="C21" s="6">
        <v>13230</v>
      </c>
      <c r="D21" t="s">
        <v>69</v>
      </c>
      <c r="E21" t="s">
        <v>38</v>
      </c>
      <c r="F21" t="s">
        <v>24</v>
      </c>
    </row>
    <row r="22" spans="1:6" x14ac:dyDescent="0.3">
      <c r="A22" s="5">
        <v>46038</v>
      </c>
      <c r="B22" t="s">
        <v>53</v>
      </c>
      <c r="C22" s="6">
        <v>48773.87</v>
      </c>
      <c r="D22" t="s">
        <v>70</v>
      </c>
      <c r="E22" t="s">
        <v>33</v>
      </c>
      <c r="F22" t="s">
        <v>19</v>
      </c>
    </row>
    <row r="23" spans="1:6" x14ac:dyDescent="0.3">
      <c r="A23" s="5">
        <v>46041</v>
      </c>
      <c r="B23" t="s">
        <v>56</v>
      </c>
      <c r="C23" s="6">
        <v>53640</v>
      </c>
      <c r="D23" t="s">
        <v>70</v>
      </c>
      <c r="E23" t="s">
        <v>18</v>
      </c>
      <c r="F23" t="s">
        <v>19</v>
      </c>
    </row>
    <row r="24" spans="1:6" x14ac:dyDescent="0.3">
      <c r="A24" s="5">
        <v>46041</v>
      </c>
      <c r="B24" t="s">
        <v>52</v>
      </c>
      <c r="C24" s="6">
        <v>33440</v>
      </c>
      <c r="D24" t="s">
        <v>72</v>
      </c>
      <c r="E24" t="s">
        <v>38</v>
      </c>
      <c r="F24" t="s">
        <v>24</v>
      </c>
    </row>
    <row r="25" spans="1:6" x14ac:dyDescent="0.3">
      <c r="A25" s="5">
        <v>46042</v>
      </c>
      <c r="B25" t="s">
        <v>48</v>
      </c>
      <c r="C25" s="6">
        <v>5740</v>
      </c>
      <c r="D25" t="s">
        <v>72</v>
      </c>
      <c r="E25" t="s">
        <v>43</v>
      </c>
      <c r="F25" t="s">
        <v>29</v>
      </c>
    </row>
    <row r="26" spans="1:6" x14ac:dyDescent="0.3">
      <c r="A26" s="5">
        <v>46043</v>
      </c>
      <c r="B26" t="s">
        <v>48</v>
      </c>
      <c r="C26" s="6">
        <v>20530</v>
      </c>
      <c r="D26" t="s">
        <v>69</v>
      </c>
      <c r="E26" t="s">
        <v>43</v>
      </c>
      <c r="F26" t="s">
        <v>29</v>
      </c>
    </row>
    <row r="27" spans="1:6" x14ac:dyDescent="0.3">
      <c r="A27" s="5">
        <v>46045</v>
      </c>
      <c r="B27" t="s">
        <v>52</v>
      </c>
      <c r="C27" s="6">
        <v>8270.44</v>
      </c>
      <c r="D27" t="s">
        <v>69</v>
      </c>
      <c r="E27" t="s">
        <v>38</v>
      </c>
      <c r="F27" t="s">
        <v>24</v>
      </c>
    </row>
    <row r="28" spans="1:6" x14ac:dyDescent="0.3">
      <c r="A28" s="5">
        <v>46048</v>
      </c>
      <c r="B28" t="s">
        <v>55</v>
      </c>
      <c r="C28" s="6">
        <v>11450</v>
      </c>
      <c r="D28" t="s">
        <v>69</v>
      </c>
      <c r="E28" t="s">
        <v>28</v>
      </c>
      <c r="F28" t="s">
        <v>24</v>
      </c>
    </row>
    <row r="29" spans="1:6" x14ac:dyDescent="0.3">
      <c r="A29" s="5">
        <v>46048</v>
      </c>
      <c r="B29" t="s">
        <v>55</v>
      </c>
      <c r="C29" s="6">
        <v>12364.41</v>
      </c>
      <c r="D29" t="s">
        <v>70</v>
      </c>
      <c r="E29" t="s">
        <v>28</v>
      </c>
      <c r="F29" t="s">
        <v>24</v>
      </c>
    </row>
    <row r="30" spans="1:6" x14ac:dyDescent="0.3">
      <c r="A30" s="5">
        <v>46048</v>
      </c>
      <c r="B30" t="s">
        <v>54</v>
      </c>
      <c r="C30" s="6">
        <v>10240</v>
      </c>
      <c r="D30" t="s">
        <v>70</v>
      </c>
      <c r="E30" t="s">
        <v>23</v>
      </c>
      <c r="F30" t="s">
        <v>29</v>
      </c>
    </row>
    <row r="31" spans="1:6" x14ac:dyDescent="0.3">
      <c r="A31" s="5">
        <v>46048</v>
      </c>
      <c r="B31" t="s">
        <v>54</v>
      </c>
      <c r="C31" s="6">
        <v>7783.88</v>
      </c>
      <c r="D31" t="s">
        <v>69</v>
      </c>
      <c r="E31" t="s">
        <v>23</v>
      </c>
      <c r="F31" t="s">
        <v>29</v>
      </c>
    </row>
    <row r="32" spans="1:6" x14ac:dyDescent="0.3">
      <c r="A32" s="5">
        <v>46051</v>
      </c>
      <c r="B32" t="s">
        <v>53</v>
      </c>
      <c r="C32" s="6">
        <v>8920</v>
      </c>
      <c r="D32" t="s">
        <v>69</v>
      </c>
      <c r="E32" t="s">
        <v>33</v>
      </c>
      <c r="F32" t="s">
        <v>19</v>
      </c>
    </row>
    <row r="33" spans="1:6" x14ac:dyDescent="0.3">
      <c r="A33" s="5">
        <v>46051</v>
      </c>
      <c r="B33" t="s">
        <v>52</v>
      </c>
      <c r="C33" s="6">
        <v>13755.81</v>
      </c>
      <c r="D33" t="s">
        <v>69</v>
      </c>
      <c r="E33" t="s">
        <v>38</v>
      </c>
      <c r="F33" t="s">
        <v>24</v>
      </c>
    </row>
    <row r="34" spans="1:6" x14ac:dyDescent="0.3">
      <c r="A34" s="5">
        <v>46051</v>
      </c>
      <c r="B34" t="s">
        <v>52</v>
      </c>
      <c r="C34" s="6">
        <v>7020</v>
      </c>
      <c r="D34" t="s">
        <v>70</v>
      </c>
      <c r="E34" t="s">
        <v>38</v>
      </c>
      <c r="F34" t="s">
        <v>24</v>
      </c>
    </row>
    <row r="35" spans="1:6" x14ac:dyDescent="0.3">
      <c r="A35" s="5">
        <v>46051</v>
      </c>
      <c r="B35" t="s">
        <v>47</v>
      </c>
      <c r="C35" s="6">
        <v>5588.94</v>
      </c>
      <c r="D35" t="s">
        <v>70</v>
      </c>
      <c r="E35" t="s">
        <v>46</v>
      </c>
      <c r="F35" t="s">
        <v>34</v>
      </c>
    </row>
    <row r="36" spans="1:6" x14ac:dyDescent="0.3">
      <c r="A36" s="5">
        <v>46052</v>
      </c>
      <c r="B36" t="s">
        <v>54</v>
      </c>
      <c r="C36" s="6">
        <v>16670</v>
      </c>
      <c r="D36" t="s">
        <v>70</v>
      </c>
      <c r="E36" t="s">
        <v>23</v>
      </c>
      <c r="F36" t="s">
        <v>29</v>
      </c>
    </row>
    <row r="37" spans="1:6" x14ac:dyDescent="0.3">
      <c r="A37" s="5">
        <v>46052</v>
      </c>
      <c r="B37" t="s">
        <v>56</v>
      </c>
      <c r="C37" s="6">
        <v>69750</v>
      </c>
      <c r="D37" t="s">
        <v>70</v>
      </c>
      <c r="E37" t="s">
        <v>18</v>
      </c>
      <c r="F37" t="s">
        <v>19</v>
      </c>
    </row>
    <row r="38" spans="1:6" x14ac:dyDescent="0.3">
      <c r="A38" s="5">
        <v>46052</v>
      </c>
      <c r="B38" t="s">
        <v>20</v>
      </c>
      <c r="C38" s="6">
        <v>857.8</v>
      </c>
      <c r="D38" t="s">
        <v>70</v>
      </c>
      <c r="E38" t="s">
        <v>51</v>
      </c>
      <c r="F38" t="s">
        <v>44</v>
      </c>
    </row>
    <row r="39" spans="1:6" x14ac:dyDescent="0.3">
      <c r="A39" s="5">
        <v>46055</v>
      </c>
      <c r="B39" t="s">
        <v>20</v>
      </c>
      <c r="C39" s="6">
        <v>380</v>
      </c>
      <c r="D39" t="s">
        <v>69</v>
      </c>
      <c r="E39" t="s">
        <v>51</v>
      </c>
      <c r="F39" t="s">
        <v>44</v>
      </c>
    </row>
    <row r="40" spans="1:6" x14ac:dyDescent="0.3">
      <c r="A40" s="5">
        <v>46056</v>
      </c>
      <c r="B40" t="s">
        <v>54</v>
      </c>
      <c r="C40" s="6">
        <v>11080</v>
      </c>
      <c r="D40" t="s">
        <v>69</v>
      </c>
      <c r="E40" t="s">
        <v>23</v>
      </c>
      <c r="F40" t="s">
        <v>29</v>
      </c>
    </row>
    <row r="41" spans="1:6" x14ac:dyDescent="0.3">
      <c r="A41" s="5">
        <v>46056</v>
      </c>
      <c r="B41" t="s">
        <v>55</v>
      </c>
      <c r="C41" s="6">
        <v>4580</v>
      </c>
      <c r="D41" t="s">
        <v>69</v>
      </c>
      <c r="E41" t="s">
        <v>28</v>
      </c>
      <c r="F41" t="s">
        <v>24</v>
      </c>
    </row>
    <row r="42" spans="1:6" x14ac:dyDescent="0.3">
      <c r="A42" s="5">
        <v>46058</v>
      </c>
      <c r="B42" t="s">
        <v>55</v>
      </c>
      <c r="C42" s="6">
        <v>92480</v>
      </c>
      <c r="D42" t="s">
        <v>70</v>
      </c>
      <c r="E42" t="s">
        <v>28</v>
      </c>
      <c r="F42" t="s">
        <v>24</v>
      </c>
    </row>
    <row r="43" spans="1:6" x14ac:dyDescent="0.3">
      <c r="A43" s="5">
        <v>46058</v>
      </c>
      <c r="B43" t="s">
        <v>52</v>
      </c>
      <c r="C43" s="6">
        <v>14980</v>
      </c>
      <c r="D43" t="s">
        <v>69</v>
      </c>
      <c r="E43" t="s">
        <v>38</v>
      </c>
      <c r="F43" t="s">
        <v>24</v>
      </c>
    </row>
    <row r="44" spans="1:6" x14ac:dyDescent="0.3">
      <c r="A44" s="5">
        <v>46059</v>
      </c>
      <c r="B44" s="7" t="s">
        <v>30</v>
      </c>
      <c r="C44" s="6">
        <v>8330</v>
      </c>
      <c r="D44" t="s">
        <v>71</v>
      </c>
    </row>
    <row r="45" spans="1:6" x14ac:dyDescent="0.3">
      <c r="A45" s="5">
        <v>46062</v>
      </c>
      <c r="B45" t="s">
        <v>47</v>
      </c>
      <c r="C45" s="6">
        <v>6280</v>
      </c>
      <c r="D45" t="s">
        <v>70</v>
      </c>
      <c r="E45" t="s">
        <v>46</v>
      </c>
      <c r="F45" t="s">
        <v>34</v>
      </c>
    </row>
    <row r="46" spans="1:6" x14ac:dyDescent="0.3">
      <c r="A46" s="5">
        <v>46064</v>
      </c>
      <c r="B46" s="7" t="s">
        <v>25</v>
      </c>
      <c r="C46" s="6">
        <v>7040</v>
      </c>
      <c r="D46" t="s">
        <v>70</v>
      </c>
    </row>
    <row r="47" spans="1:6" x14ac:dyDescent="0.3">
      <c r="A47" s="5">
        <v>46065</v>
      </c>
      <c r="B47" t="s">
        <v>54</v>
      </c>
      <c r="C47" s="6">
        <v>22930</v>
      </c>
      <c r="D47" t="s">
        <v>70</v>
      </c>
      <c r="E47" t="s">
        <v>23</v>
      </c>
      <c r="F47" t="s">
        <v>29</v>
      </c>
    </row>
    <row r="48" spans="1:6" x14ac:dyDescent="0.3">
      <c r="A48" s="5">
        <v>46066</v>
      </c>
      <c r="B48" t="s">
        <v>56</v>
      </c>
      <c r="C48" s="6">
        <v>14580</v>
      </c>
      <c r="D48" t="s">
        <v>69</v>
      </c>
      <c r="E48" t="s">
        <v>18</v>
      </c>
      <c r="F48" t="s">
        <v>19</v>
      </c>
    </row>
    <row r="49" spans="1:6" x14ac:dyDescent="0.3">
      <c r="A49" s="5">
        <v>46066</v>
      </c>
      <c r="B49" t="s">
        <v>50</v>
      </c>
      <c r="C49" s="6">
        <v>13198.52</v>
      </c>
      <c r="D49" t="s">
        <v>70</v>
      </c>
      <c r="E49" t="s">
        <v>23</v>
      </c>
      <c r="F49" t="s">
        <v>34</v>
      </c>
    </row>
    <row r="50" spans="1:6" x14ac:dyDescent="0.3">
      <c r="A50" s="5">
        <v>46066</v>
      </c>
      <c r="B50" t="s">
        <v>52</v>
      </c>
      <c r="C50" s="6">
        <v>29770</v>
      </c>
      <c r="D50" t="s">
        <v>70</v>
      </c>
      <c r="E50" t="s">
        <v>38</v>
      </c>
      <c r="F50" t="s">
        <v>24</v>
      </c>
    </row>
    <row r="51" spans="1:6" x14ac:dyDescent="0.3">
      <c r="A51" s="5">
        <v>46068</v>
      </c>
      <c r="B51" t="s">
        <v>47</v>
      </c>
      <c r="C51" s="6">
        <v>4740</v>
      </c>
      <c r="D51" t="s">
        <v>70</v>
      </c>
      <c r="E51" t="s">
        <v>46</v>
      </c>
      <c r="F51" t="s">
        <v>34</v>
      </c>
    </row>
    <row r="52" spans="1:6" x14ac:dyDescent="0.3">
      <c r="A52" s="5">
        <v>46068</v>
      </c>
      <c r="B52" t="s">
        <v>56</v>
      </c>
      <c r="C52" s="6">
        <v>9226.7000000000007</v>
      </c>
      <c r="D52" t="s">
        <v>72</v>
      </c>
      <c r="E52" t="s">
        <v>18</v>
      </c>
      <c r="F52" t="s">
        <v>19</v>
      </c>
    </row>
    <row r="53" spans="1:6" x14ac:dyDescent="0.3">
      <c r="A53" s="5">
        <v>46069</v>
      </c>
      <c r="B53" t="s">
        <v>56</v>
      </c>
      <c r="C53" s="6">
        <v>20420</v>
      </c>
      <c r="D53" t="s">
        <v>69</v>
      </c>
      <c r="E53" t="s">
        <v>18</v>
      </c>
      <c r="F53" t="s">
        <v>19</v>
      </c>
    </row>
    <row r="54" spans="1:6" x14ac:dyDescent="0.3">
      <c r="A54" s="5">
        <v>46069</v>
      </c>
      <c r="B54" t="s">
        <v>53</v>
      </c>
      <c r="C54" s="6">
        <v>9270</v>
      </c>
      <c r="D54" t="s">
        <v>71</v>
      </c>
      <c r="E54" t="s">
        <v>33</v>
      </c>
      <c r="F54" t="s">
        <v>19</v>
      </c>
    </row>
    <row r="55" spans="1:6" x14ac:dyDescent="0.3">
      <c r="A55" s="5">
        <v>46070</v>
      </c>
      <c r="B55" t="s">
        <v>56</v>
      </c>
      <c r="C55" s="6">
        <v>12990</v>
      </c>
      <c r="D55" t="s">
        <v>69</v>
      </c>
      <c r="E55" t="s">
        <v>18</v>
      </c>
      <c r="F55" t="s">
        <v>19</v>
      </c>
    </row>
    <row r="56" spans="1:6" x14ac:dyDescent="0.3">
      <c r="A56" s="5">
        <v>46070</v>
      </c>
      <c r="B56" t="s">
        <v>54</v>
      </c>
      <c r="C56" s="6">
        <v>65960</v>
      </c>
      <c r="D56" t="s">
        <v>73</v>
      </c>
      <c r="E56" t="s">
        <v>23</v>
      </c>
      <c r="F56" t="s">
        <v>29</v>
      </c>
    </row>
    <row r="57" spans="1:6" x14ac:dyDescent="0.3">
      <c r="A57" s="5">
        <v>46070</v>
      </c>
      <c r="B57" t="s">
        <v>55</v>
      </c>
      <c r="C57" s="6">
        <v>9730</v>
      </c>
      <c r="D57" t="s">
        <v>69</v>
      </c>
      <c r="E57" t="s">
        <v>28</v>
      </c>
      <c r="F57" t="s">
        <v>24</v>
      </c>
    </row>
    <row r="58" spans="1:6" x14ac:dyDescent="0.3">
      <c r="A58" s="5">
        <v>46070</v>
      </c>
      <c r="B58" t="s">
        <v>53</v>
      </c>
      <c r="C58" s="6">
        <v>13759.65</v>
      </c>
      <c r="D58" t="s">
        <v>69</v>
      </c>
      <c r="E58" t="s">
        <v>33</v>
      </c>
      <c r="F58" t="s">
        <v>19</v>
      </c>
    </row>
    <row r="59" spans="1:6" x14ac:dyDescent="0.3">
      <c r="A59" s="5">
        <v>46070</v>
      </c>
      <c r="B59" t="s">
        <v>54</v>
      </c>
      <c r="C59" s="6">
        <v>15020</v>
      </c>
      <c r="D59" t="s">
        <v>69</v>
      </c>
      <c r="E59" t="s">
        <v>23</v>
      </c>
      <c r="F59" t="s">
        <v>29</v>
      </c>
    </row>
    <row r="60" spans="1:6" x14ac:dyDescent="0.3">
      <c r="A60" s="5">
        <v>46071</v>
      </c>
      <c r="B60" t="s">
        <v>48</v>
      </c>
      <c r="C60" s="6">
        <v>10070</v>
      </c>
      <c r="D60" t="s">
        <v>70</v>
      </c>
      <c r="E60" t="s">
        <v>43</v>
      </c>
      <c r="F60" t="s">
        <v>29</v>
      </c>
    </row>
    <row r="61" spans="1:6" x14ac:dyDescent="0.3">
      <c r="A61" s="5">
        <v>46072</v>
      </c>
      <c r="B61" t="s">
        <v>20</v>
      </c>
      <c r="C61" s="6">
        <v>500</v>
      </c>
      <c r="D61" t="s">
        <v>70</v>
      </c>
      <c r="E61" t="s">
        <v>51</v>
      </c>
      <c r="F61" t="s">
        <v>44</v>
      </c>
    </row>
    <row r="62" spans="1:6" x14ac:dyDescent="0.3">
      <c r="A62" s="5">
        <v>46072</v>
      </c>
      <c r="B62" t="s">
        <v>55</v>
      </c>
      <c r="C62" s="6">
        <v>35190</v>
      </c>
      <c r="D62" t="s">
        <v>70</v>
      </c>
      <c r="E62" t="s">
        <v>28</v>
      </c>
      <c r="F62" t="s">
        <v>24</v>
      </c>
    </row>
    <row r="63" spans="1:6" x14ac:dyDescent="0.3">
      <c r="A63" s="5">
        <v>46072</v>
      </c>
      <c r="B63" t="s">
        <v>55</v>
      </c>
      <c r="C63" s="6">
        <v>13025.02</v>
      </c>
      <c r="D63" t="s">
        <v>73</v>
      </c>
      <c r="E63" t="s">
        <v>28</v>
      </c>
      <c r="F63" t="s">
        <v>24</v>
      </c>
    </row>
    <row r="64" spans="1:6" x14ac:dyDescent="0.3">
      <c r="A64" s="5">
        <v>46073</v>
      </c>
      <c r="B64" t="s">
        <v>50</v>
      </c>
      <c r="C64" s="6">
        <v>12040</v>
      </c>
      <c r="D64" t="s">
        <v>69</v>
      </c>
      <c r="E64" t="s">
        <v>23</v>
      </c>
      <c r="F64" t="s">
        <v>34</v>
      </c>
    </row>
    <row r="65" spans="1:6" x14ac:dyDescent="0.3">
      <c r="A65" s="5">
        <v>46076</v>
      </c>
      <c r="B65" t="s">
        <v>55</v>
      </c>
      <c r="C65" s="6">
        <v>28631.18</v>
      </c>
      <c r="D65" t="s">
        <v>69</v>
      </c>
      <c r="E65" t="s">
        <v>28</v>
      </c>
      <c r="F65" t="s">
        <v>24</v>
      </c>
    </row>
    <row r="66" spans="1:6" x14ac:dyDescent="0.3">
      <c r="A66" s="5">
        <v>46077</v>
      </c>
      <c r="B66" t="s">
        <v>56</v>
      </c>
      <c r="C66" s="6">
        <v>23368.59</v>
      </c>
      <c r="D66" t="s">
        <v>70</v>
      </c>
      <c r="E66" t="s">
        <v>18</v>
      </c>
      <c r="F66" t="s">
        <v>19</v>
      </c>
    </row>
    <row r="67" spans="1:6" x14ac:dyDescent="0.3">
      <c r="A67" s="5">
        <v>46078</v>
      </c>
      <c r="B67" t="s">
        <v>53</v>
      </c>
      <c r="C67" s="6">
        <v>10540</v>
      </c>
      <c r="D67" t="s">
        <v>72</v>
      </c>
      <c r="E67" t="s">
        <v>33</v>
      </c>
      <c r="F67" t="s">
        <v>19</v>
      </c>
    </row>
    <row r="68" spans="1:6" x14ac:dyDescent="0.3">
      <c r="A68" s="5">
        <v>46078</v>
      </c>
      <c r="B68" t="s">
        <v>53</v>
      </c>
      <c r="C68" s="6">
        <v>20430</v>
      </c>
      <c r="D68" t="s">
        <v>70</v>
      </c>
      <c r="E68" t="s">
        <v>33</v>
      </c>
      <c r="F68" t="s">
        <v>19</v>
      </c>
    </row>
    <row r="69" spans="1:6" x14ac:dyDescent="0.3">
      <c r="A69" s="5">
        <v>46079</v>
      </c>
      <c r="B69" t="s">
        <v>52</v>
      </c>
      <c r="C69" s="6">
        <v>15000</v>
      </c>
      <c r="D69" t="s">
        <v>71</v>
      </c>
      <c r="E69" t="s">
        <v>38</v>
      </c>
      <c r="F69" t="s">
        <v>24</v>
      </c>
    </row>
    <row r="70" spans="1:6" x14ac:dyDescent="0.3">
      <c r="A70" s="5">
        <v>46079</v>
      </c>
      <c r="B70" t="s">
        <v>48</v>
      </c>
      <c r="C70" s="6">
        <v>11910</v>
      </c>
      <c r="D70" t="s">
        <v>72</v>
      </c>
      <c r="E70" t="s">
        <v>43</v>
      </c>
      <c r="F70" t="s">
        <v>29</v>
      </c>
    </row>
    <row r="71" spans="1:6" x14ac:dyDescent="0.3">
      <c r="A71" s="5">
        <v>46081</v>
      </c>
      <c r="B71" t="s">
        <v>55</v>
      </c>
      <c r="C71" s="6">
        <v>94000</v>
      </c>
      <c r="D71" t="s">
        <v>73</v>
      </c>
      <c r="E71" t="s">
        <v>28</v>
      </c>
      <c r="F71" t="s">
        <v>24</v>
      </c>
    </row>
    <row r="72" spans="1:6" x14ac:dyDescent="0.3">
      <c r="A72" s="5">
        <v>46084</v>
      </c>
      <c r="B72" t="s">
        <v>50</v>
      </c>
      <c r="C72" s="6">
        <v>13770</v>
      </c>
      <c r="D72" t="s">
        <v>70</v>
      </c>
      <c r="E72" t="s">
        <v>23</v>
      </c>
      <c r="F72" t="s">
        <v>34</v>
      </c>
    </row>
    <row r="73" spans="1:6" x14ac:dyDescent="0.3">
      <c r="A73" s="5">
        <v>46086</v>
      </c>
      <c r="B73" t="s">
        <v>45</v>
      </c>
      <c r="C73" s="6">
        <v>2450</v>
      </c>
      <c r="D73" t="s">
        <v>70</v>
      </c>
      <c r="E73" t="s">
        <v>49</v>
      </c>
      <c r="F73" t="s">
        <v>44</v>
      </c>
    </row>
    <row r="74" spans="1:6" x14ac:dyDescent="0.3">
      <c r="A74" s="5">
        <v>46087</v>
      </c>
      <c r="B74" t="s">
        <v>56</v>
      </c>
      <c r="C74" s="6">
        <v>41650</v>
      </c>
      <c r="D74" t="s">
        <v>69</v>
      </c>
      <c r="E74" t="s">
        <v>18</v>
      </c>
      <c r="F74" t="s">
        <v>19</v>
      </c>
    </row>
    <row r="75" spans="1:6" x14ac:dyDescent="0.3">
      <c r="A75" s="5">
        <v>46089</v>
      </c>
      <c r="B75" t="s">
        <v>55</v>
      </c>
      <c r="C75" s="6">
        <v>12580</v>
      </c>
      <c r="D75" t="s">
        <v>73</v>
      </c>
      <c r="E75" t="s">
        <v>28</v>
      </c>
      <c r="F75" t="s">
        <v>24</v>
      </c>
    </row>
    <row r="76" spans="1:6" x14ac:dyDescent="0.3">
      <c r="A76" s="5">
        <v>46091</v>
      </c>
      <c r="B76" t="s">
        <v>45</v>
      </c>
      <c r="C76" s="6">
        <v>1890</v>
      </c>
      <c r="D76" t="s">
        <v>70</v>
      </c>
      <c r="E76" t="s">
        <v>49</v>
      </c>
      <c r="F76" t="s">
        <v>44</v>
      </c>
    </row>
    <row r="77" spans="1:6" x14ac:dyDescent="0.3">
      <c r="A77" s="5">
        <v>46092</v>
      </c>
      <c r="B77" t="s">
        <v>48</v>
      </c>
      <c r="C77" s="6">
        <v>3870</v>
      </c>
      <c r="D77" t="s">
        <v>70</v>
      </c>
      <c r="E77" t="s">
        <v>43</v>
      </c>
      <c r="F77" t="s">
        <v>29</v>
      </c>
    </row>
    <row r="78" spans="1:6" x14ac:dyDescent="0.3">
      <c r="A78" s="5">
        <v>46092</v>
      </c>
      <c r="B78" t="s">
        <v>56</v>
      </c>
      <c r="C78" s="6">
        <v>31990</v>
      </c>
      <c r="D78" t="s">
        <v>69</v>
      </c>
      <c r="E78" t="s">
        <v>18</v>
      </c>
      <c r="F78" t="s">
        <v>19</v>
      </c>
    </row>
    <row r="79" spans="1:6" x14ac:dyDescent="0.3">
      <c r="A79" s="5">
        <v>46092</v>
      </c>
      <c r="B79" t="s">
        <v>55</v>
      </c>
      <c r="C79" s="6">
        <v>10960</v>
      </c>
      <c r="D79" t="s">
        <v>69</v>
      </c>
      <c r="E79" t="s">
        <v>28</v>
      </c>
      <c r="F79" t="s">
        <v>24</v>
      </c>
    </row>
    <row r="80" spans="1:6" x14ac:dyDescent="0.3">
      <c r="A80" s="5">
        <v>46092</v>
      </c>
      <c r="B80" t="s">
        <v>54</v>
      </c>
      <c r="C80" s="6">
        <v>30131.94</v>
      </c>
      <c r="D80" t="s">
        <v>72</v>
      </c>
      <c r="E80" t="s">
        <v>23</v>
      </c>
      <c r="F80" t="s">
        <v>29</v>
      </c>
    </row>
    <row r="81" spans="1:6" x14ac:dyDescent="0.3">
      <c r="A81" s="5">
        <v>46092</v>
      </c>
      <c r="B81" t="s">
        <v>50</v>
      </c>
      <c r="C81" s="6">
        <v>10440</v>
      </c>
      <c r="D81" t="s">
        <v>70</v>
      </c>
      <c r="E81" t="s">
        <v>23</v>
      </c>
      <c r="F81" t="s">
        <v>34</v>
      </c>
    </row>
    <row r="82" spans="1:6" x14ac:dyDescent="0.3">
      <c r="A82" s="5">
        <v>46093</v>
      </c>
      <c r="B82" t="s">
        <v>53</v>
      </c>
      <c r="C82" s="6">
        <v>7750.03</v>
      </c>
      <c r="D82" t="s">
        <v>70</v>
      </c>
      <c r="E82" t="s">
        <v>33</v>
      </c>
      <c r="F82" t="s">
        <v>19</v>
      </c>
    </row>
    <row r="83" spans="1:6" x14ac:dyDescent="0.3">
      <c r="A83" s="5">
        <v>46093</v>
      </c>
      <c r="B83" t="s">
        <v>53</v>
      </c>
      <c r="C83" s="6">
        <v>20910</v>
      </c>
      <c r="D83" t="s">
        <v>71</v>
      </c>
      <c r="E83" t="s">
        <v>33</v>
      </c>
      <c r="F83" t="s">
        <v>19</v>
      </c>
    </row>
    <row r="84" spans="1:6" x14ac:dyDescent="0.3">
      <c r="A84" s="5">
        <v>46094</v>
      </c>
      <c r="B84" t="s">
        <v>55</v>
      </c>
      <c r="C84" s="6">
        <v>11612.3</v>
      </c>
      <c r="D84" t="s">
        <v>70</v>
      </c>
      <c r="E84" t="s">
        <v>28</v>
      </c>
      <c r="F84" t="s">
        <v>24</v>
      </c>
    </row>
    <row r="85" spans="1:6" x14ac:dyDescent="0.3">
      <c r="A85" s="5">
        <v>46094</v>
      </c>
      <c r="B85" t="s">
        <v>54</v>
      </c>
      <c r="C85" s="6">
        <v>46221.56</v>
      </c>
      <c r="D85" t="s">
        <v>70</v>
      </c>
      <c r="E85" t="s">
        <v>23</v>
      </c>
      <c r="F85" t="s">
        <v>29</v>
      </c>
    </row>
    <row r="86" spans="1:6" x14ac:dyDescent="0.3">
      <c r="A86" s="5">
        <v>46097</v>
      </c>
      <c r="B86" t="s">
        <v>53</v>
      </c>
      <c r="C86" s="6">
        <v>7490</v>
      </c>
      <c r="D86" t="s">
        <v>70</v>
      </c>
      <c r="E86" t="s">
        <v>33</v>
      </c>
      <c r="F86" t="s">
        <v>19</v>
      </c>
    </row>
    <row r="87" spans="1:6" x14ac:dyDescent="0.3">
      <c r="A87" s="5">
        <v>46097</v>
      </c>
      <c r="B87" t="s">
        <v>54</v>
      </c>
      <c r="C87" s="6">
        <v>32690</v>
      </c>
      <c r="D87" t="s">
        <v>70</v>
      </c>
      <c r="E87" t="s">
        <v>23</v>
      </c>
      <c r="F87" t="s">
        <v>29</v>
      </c>
    </row>
    <row r="88" spans="1:6" x14ac:dyDescent="0.3">
      <c r="A88" s="5">
        <v>46097</v>
      </c>
      <c r="B88" t="s">
        <v>45</v>
      </c>
      <c r="C88" s="6">
        <v>8650</v>
      </c>
      <c r="D88" t="s">
        <v>71</v>
      </c>
      <c r="E88" t="s">
        <v>49</v>
      </c>
      <c r="F88" t="s">
        <v>44</v>
      </c>
    </row>
    <row r="89" spans="1:6" x14ac:dyDescent="0.3">
      <c r="A89" s="5">
        <v>46098</v>
      </c>
      <c r="B89" s="7" t="s">
        <v>40</v>
      </c>
      <c r="C89" s="6">
        <v>22271.71</v>
      </c>
      <c r="D89" t="s">
        <v>69</v>
      </c>
    </row>
    <row r="90" spans="1:6" x14ac:dyDescent="0.3">
      <c r="A90" s="5">
        <v>46098</v>
      </c>
      <c r="B90" t="s">
        <v>47</v>
      </c>
      <c r="C90" s="6">
        <v>7260</v>
      </c>
      <c r="D90" t="s">
        <v>69</v>
      </c>
      <c r="E90" t="s">
        <v>46</v>
      </c>
      <c r="F90" t="s">
        <v>34</v>
      </c>
    </row>
    <row r="91" spans="1:6" x14ac:dyDescent="0.3">
      <c r="A91" s="5">
        <v>46101</v>
      </c>
      <c r="B91" t="s">
        <v>55</v>
      </c>
      <c r="C91" s="6">
        <v>30356.99</v>
      </c>
      <c r="D91" t="s">
        <v>70</v>
      </c>
      <c r="E91" t="s">
        <v>28</v>
      </c>
      <c r="F91" t="s">
        <v>24</v>
      </c>
    </row>
    <row r="92" spans="1:6" x14ac:dyDescent="0.3">
      <c r="A92" s="5">
        <v>46104</v>
      </c>
      <c r="B92" t="s">
        <v>53</v>
      </c>
      <c r="C92" s="6">
        <v>31290</v>
      </c>
      <c r="D92" t="s">
        <v>71</v>
      </c>
      <c r="E92" t="s">
        <v>33</v>
      </c>
      <c r="F92" t="s">
        <v>19</v>
      </c>
    </row>
    <row r="93" spans="1:6" x14ac:dyDescent="0.3">
      <c r="A93" s="5">
        <v>46104</v>
      </c>
      <c r="B93" t="s">
        <v>47</v>
      </c>
      <c r="C93" s="6">
        <v>5330</v>
      </c>
      <c r="D93" t="s">
        <v>69</v>
      </c>
      <c r="E93" t="s">
        <v>46</v>
      </c>
      <c r="F93" t="s">
        <v>34</v>
      </c>
    </row>
    <row r="94" spans="1:6" x14ac:dyDescent="0.3">
      <c r="A94" s="5">
        <v>46104</v>
      </c>
      <c r="B94" t="s">
        <v>20</v>
      </c>
      <c r="C94" s="6">
        <v>380</v>
      </c>
      <c r="D94" t="s">
        <v>70</v>
      </c>
      <c r="E94" t="s">
        <v>51</v>
      </c>
      <c r="F94" t="s">
        <v>44</v>
      </c>
    </row>
    <row r="95" spans="1:6" x14ac:dyDescent="0.3">
      <c r="A95" s="5">
        <v>46105</v>
      </c>
      <c r="B95" t="s">
        <v>55</v>
      </c>
      <c r="C95" s="6">
        <v>18260</v>
      </c>
      <c r="D95" t="s">
        <v>70</v>
      </c>
      <c r="E95" t="s">
        <v>28</v>
      </c>
      <c r="F95" t="s">
        <v>24</v>
      </c>
    </row>
    <row r="96" spans="1:6" x14ac:dyDescent="0.3">
      <c r="A96" s="5">
        <v>46105</v>
      </c>
      <c r="B96" t="s">
        <v>55</v>
      </c>
      <c r="C96" s="6">
        <v>7336.41</v>
      </c>
      <c r="D96" t="s">
        <v>70</v>
      </c>
      <c r="E96" t="s">
        <v>28</v>
      </c>
      <c r="F96" t="s">
        <v>24</v>
      </c>
    </row>
    <row r="97" spans="1:6" x14ac:dyDescent="0.3">
      <c r="A97" s="5">
        <v>46106</v>
      </c>
      <c r="B97" t="s">
        <v>53</v>
      </c>
      <c r="C97" s="6">
        <v>26900</v>
      </c>
      <c r="D97" t="s">
        <v>70</v>
      </c>
      <c r="E97" t="s">
        <v>33</v>
      </c>
      <c r="F97" t="s">
        <v>19</v>
      </c>
    </row>
    <row r="98" spans="1:6" x14ac:dyDescent="0.3">
      <c r="A98" s="5">
        <v>46107</v>
      </c>
      <c r="B98" t="s">
        <v>52</v>
      </c>
      <c r="C98" s="6">
        <v>14320</v>
      </c>
      <c r="D98" t="s">
        <v>70</v>
      </c>
      <c r="E98" t="s">
        <v>38</v>
      </c>
      <c r="F98" t="s">
        <v>24</v>
      </c>
    </row>
    <row r="99" spans="1:6" x14ac:dyDescent="0.3">
      <c r="A99" s="5">
        <v>46107</v>
      </c>
      <c r="B99" t="s">
        <v>56</v>
      </c>
      <c r="C99" s="6">
        <v>9250</v>
      </c>
      <c r="D99" t="s">
        <v>69</v>
      </c>
      <c r="E99" t="s">
        <v>18</v>
      </c>
      <c r="F99" t="s">
        <v>19</v>
      </c>
    </row>
    <row r="100" spans="1:6" x14ac:dyDescent="0.3">
      <c r="A100" s="5">
        <v>46108</v>
      </c>
      <c r="B100" t="s">
        <v>56</v>
      </c>
      <c r="C100" s="6">
        <v>12383.52</v>
      </c>
      <c r="D100" t="s">
        <v>70</v>
      </c>
      <c r="E100" t="s">
        <v>18</v>
      </c>
      <c r="F100" t="s">
        <v>19</v>
      </c>
    </row>
    <row r="101" spans="1:6" x14ac:dyDescent="0.3">
      <c r="A101" s="5">
        <v>46111</v>
      </c>
      <c r="B101" s="7" t="s">
        <v>35</v>
      </c>
      <c r="C101" s="6">
        <v>20567.47</v>
      </c>
      <c r="D101" t="s">
        <v>70</v>
      </c>
    </row>
    <row r="102" spans="1:6" x14ac:dyDescent="0.3">
      <c r="A102" s="5">
        <v>46111</v>
      </c>
      <c r="B102" t="s">
        <v>56</v>
      </c>
      <c r="C102" s="6">
        <v>68960</v>
      </c>
      <c r="D102" t="s">
        <v>69</v>
      </c>
      <c r="E102" t="s">
        <v>18</v>
      </c>
      <c r="F102" t="s">
        <v>19</v>
      </c>
    </row>
    <row r="103" spans="1:6" x14ac:dyDescent="0.3">
      <c r="A103" s="5">
        <v>46111</v>
      </c>
      <c r="B103" t="s">
        <v>56</v>
      </c>
      <c r="C103" s="6">
        <v>13460</v>
      </c>
      <c r="D103" t="s">
        <v>69</v>
      </c>
      <c r="E103" t="s">
        <v>18</v>
      </c>
      <c r="F103" t="s">
        <v>19</v>
      </c>
    </row>
    <row r="104" spans="1:6" x14ac:dyDescent="0.3">
      <c r="A104" s="5">
        <v>46111</v>
      </c>
      <c r="B104" t="s">
        <v>55</v>
      </c>
      <c r="C104" s="6">
        <v>63220</v>
      </c>
      <c r="D104" t="s">
        <v>70</v>
      </c>
      <c r="E104" t="s">
        <v>28</v>
      </c>
      <c r="F104" t="s">
        <v>24</v>
      </c>
    </row>
    <row r="105" spans="1:6" x14ac:dyDescent="0.3">
      <c r="A105" s="5">
        <v>46111</v>
      </c>
      <c r="B105" t="s">
        <v>56</v>
      </c>
      <c r="C105" s="6">
        <v>29320</v>
      </c>
      <c r="D105" t="s">
        <v>69</v>
      </c>
      <c r="E105" t="s">
        <v>18</v>
      </c>
      <c r="F105" t="s">
        <v>19</v>
      </c>
    </row>
    <row r="106" spans="1:6" x14ac:dyDescent="0.3">
      <c r="A106" s="5">
        <v>46112</v>
      </c>
      <c r="B106" t="s">
        <v>55</v>
      </c>
      <c r="C106" s="6">
        <v>43200</v>
      </c>
      <c r="D106" t="s">
        <v>73</v>
      </c>
      <c r="E106" t="s">
        <v>28</v>
      </c>
      <c r="F106" t="s">
        <v>24</v>
      </c>
    </row>
    <row r="107" spans="1:6" x14ac:dyDescent="0.3">
      <c r="A107" s="5">
        <v>46113</v>
      </c>
      <c r="B107" t="s">
        <v>53</v>
      </c>
      <c r="C107" s="6">
        <v>8700</v>
      </c>
      <c r="D107" t="s">
        <v>70</v>
      </c>
      <c r="E107" t="s">
        <v>33</v>
      </c>
      <c r="F107" t="s">
        <v>19</v>
      </c>
    </row>
    <row r="108" spans="1:6" x14ac:dyDescent="0.3">
      <c r="A108" s="5">
        <v>46113</v>
      </c>
      <c r="B108" t="s">
        <v>50</v>
      </c>
      <c r="C108" s="6">
        <v>4490</v>
      </c>
      <c r="D108" t="s">
        <v>70</v>
      </c>
      <c r="E108" t="s">
        <v>23</v>
      </c>
      <c r="F108" t="s">
        <v>34</v>
      </c>
    </row>
    <row r="109" spans="1:6" x14ac:dyDescent="0.3">
      <c r="A109" s="5">
        <v>46113</v>
      </c>
      <c r="B109" t="s">
        <v>50</v>
      </c>
      <c r="C109" s="6">
        <v>17930</v>
      </c>
      <c r="D109" t="s">
        <v>72</v>
      </c>
      <c r="E109" t="s">
        <v>23</v>
      </c>
      <c r="F109" t="s">
        <v>34</v>
      </c>
    </row>
    <row r="110" spans="1:6" x14ac:dyDescent="0.3">
      <c r="A110" s="5">
        <v>46114</v>
      </c>
      <c r="B110" t="s">
        <v>56</v>
      </c>
      <c r="C110" s="6">
        <v>34481.730000000003</v>
      </c>
      <c r="D110" t="s">
        <v>69</v>
      </c>
      <c r="E110" t="s">
        <v>18</v>
      </c>
      <c r="F110" t="s">
        <v>19</v>
      </c>
    </row>
    <row r="111" spans="1:6" x14ac:dyDescent="0.3">
      <c r="A111" s="5">
        <v>46114</v>
      </c>
      <c r="B111" t="s">
        <v>47</v>
      </c>
      <c r="C111" s="6">
        <v>9590</v>
      </c>
      <c r="D111" t="s">
        <v>70</v>
      </c>
      <c r="E111" t="s">
        <v>46</v>
      </c>
      <c r="F111" t="s">
        <v>34</v>
      </c>
    </row>
    <row r="112" spans="1:6" x14ac:dyDescent="0.3">
      <c r="A112" s="5">
        <v>46115</v>
      </c>
      <c r="B112" t="s">
        <v>55</v>
      </c>
      <c r="C112" s="6">
        <v>18340</v>
      </c>
      <c r="D112" t="s">
        <v>72</v>
      </c>
      <c r="E112" t="s">
        <v>28</v>
      </c>
      <c r="F112" t="s">
        <v>24</v>
      </c>
    </row>
    <row r="113" spans="1:6" x14ac:dyDescent="0.3">
      <c r="A113" s="5">
        <v>46115</v>
      </c>
      <c r="B113" t="s">
        <v>54</v>
      </c>
      <c r="C113" s="6">
        <v>29185.53</v>
      </c>
      <c r="D113" t="s">
        <v>69</v>
      </c>
      <c r="E113" t="s">
        <v>23</v>
      </c>
      <c r="F113" t="s">
        <v>29</v>
      </c>
    </row>
    <row r="114" spans="1:6" x14ac:dyDescent="0.3">
      <c r="A114" s="5">
        <v>46117</v>
      </c>
      <c r="B114" t="s">
        <v>50</v>
      </c>
      <c r="C114" s="6">
        <v>7170</v>
      </c>
      <c r="D114" t="s">
        <v>73</v>
      </c>
      <c r="E114" t="s">
        <v>23</v>
      </c>
      <c r="F114" t="s">
        <v>34</v>
      </c>
    </row>
    <row r="115" spans="1:6" x14ac:dyDescent="0.3">
      <c r="A115" s="5">
        <v>46118</v>
      </c>
      <c r="B115" t="s">
        <v>56</v>
      </c>
      <c r="C115" s="6">
        <v>69409.13</v>
      </c>
      <c r="D115" t="s">
        <v>69</v>
      </c>
      <c r="E115" t="s">
        <v>18</v>
      </c>
      <c r="F115" t="s">
        <v>19</v>
      </c>
    </row>
    <row r="116" spans="1:6" x14ac:dyDescent="0.3">
      <c r="A116" s="5">
        <v>46118</v>
      </c>
      <c r="B116" t="s">
        <v>52</v>
      </c>
      <c r="C116" s="6">
        <v>38860</v>
      </c>
      <c r="D116" t="s">
        <v>70</v>
      </c>
      <c r="E116" t="s">
        <v>38</v>
      </c>
      <c r="F116" t="s">
        <v>24</v>
      </c>
    </row>
    <row r="117" spans="1:6" x14ac:dyDescent="0.3">
      <c r="A117" s="5">
        <v>46118</v>
      </c>
      <c r="B117" t="s">
        <v>56</v>
      </c>
      <c r="C117" s="6">
        <v>94000</v>
      </c>
      <c r="D117" t="s">
        <v>70</v>
      </c>
      <c r="E117" t="s">
        <v>18</v>
      </c>
      <c r="F117" t="s">
        <v>19</v>
      </c>
    </row>
    <row r="118" spans="1:6" x14ac:dyDescent="0.3">
      <c r="A118" s="5">
        <v>46119</v>
      </c>
      <c r="B118" t="s">
        <v>55</v>
      </c>
      <c r="C118" s="6">
        <v>36220</v>
      </c>
      <c r="D118" t="s">
        <v>73</v>
      </c>
      <c r="E118" t="s">
        <v>28</v>
      </c>
      <c r="F118" t="s">
        <v>24</v>
      </c>
    </row>
    <row r="119" spans="1:6" x14ac:dyDescent="0.3">
      <c r="A119" s="5">
        <v>46119</v>
      </c>
      <c r="B119" t="s">
        <v>56</v>
      </c>
      <c r="C119" s="6">
        <v>14880</v>
      </c>
      <c r="D119" t="s">
        <v>70</v>
      </c>
      <c r="E119" t="s">
        <v>18</v>
      </c>
      <c r="F119" t="s">
        <v>19</v>
      </c>
    </row>
    <row r="120" spans="1:6" x14ac:dyDescent="0.3">
      <c r="A120" s="5">
        <v>46121</v>
      </c>
      <c r="B120" t="s">
        <v>53</v>
      </c>
      <c r="C120" s="6">
        <v>17380</v>
      </c>
      <c r="D120" t="s">
        <v>71</v>
      </c>
      <c r="E120" t="s">
        <v>33</v>
      </c>
      <c r="F120" t="s">
        <v>19</v>
      </c>
    </row>
    <row r="121" spans="1:6" x14ac:dyDescent="0.3">
      <c r="A121" s="5">
        <v>46121</v>
      </c>
      <c r="B121" t="s">
        <v>45</v>
      </c>
      <c r="C121" s="6">
        <v>1410</v>
      </c>
      <c r="D121" t="s">
        <v>69</v>
      </c>
      <c r="E121" t="s">
        <v>49</v>
      </c>
      <c r="F121" t="s">
        <v>44</v>
      </c>
    </row>
    <row r="122" spans="1:6" x14ac:dyDescent="0.3">
      <c r="A122" s="5">
        <v>46122</v>
      </c>
      <c r="B122" t="s">
        <v>20</v>
      </c>
      <c r="C122" s="6">
        <v>450</v>
      </c>
      <c r="D122" t="s">
        <v>70</v>
      </c>
      <c r="E122" t="s">
        <v>51</v>
      </c>
      <c r="F122" t="s">
        <v>44</v>
      </c>
    </row>
    <row r="123" spans="1:6" x14ac:dyDescent="0.3">
      <c r="A123" s="5">
        <v>46122</v>
      </c>
      <c r="B123" t="s">
        <v>56</v>
      </c>
      <c r="C123" s="6">
        <v>30898.49</v>
      </c>
      <c r="D123" t="s">
        <v>69</v>
      </c>
      <c r="E123" t="s">
        <v>18</v>
      </c>
      <c r="F123" t="s">
        <v>19</v>
      </c>
    </row>
    <row r="124" spans="1:6" x14ac:dyDescent="0.3">
      <c r="A124" s="5">
        <v>46122</v>
      </c>
      <c r="B124" t="s">
        <v>45</v>
      </c>
      <c r="C124" s="6">
        <v>1690</v>
      </c>
      <c r="D124" t="s">
        <v>70</v>
      </c>
      <c r="E124" t="s">
        <v>49</v>
      </c>
      <c r="F124" t="s">
        <v>44</v>
      </c>
    </row>
    <row r="125" spans="1:6" x14ac:dyDescent="0.3">
      <c r="A125" s="5">
        <v>46122</v>
      </c>
      <c r="B125" t="s">
        <v>53</v>
      </c>
      <c r="C125" s="6">
        <v>22390</v>
      </c>
      <c r="D125" t="s">
        <v>70</v>
      </c>
      <c r="E125" t="s">
        <v>33</v>
      </c>
      <c r="F125" t="s">
        <v>19</v>
      </c>
    </row>
    <row r="126" spans="1:6" x14ac:dyDescent="0.3">
      <c r="A126" s="5">
        <v>46122</v>
      </c>
      <c r="B126" t="s">
        <v>50</v>
      </c>
      <c r="C126" s="6">
        <v>10450</v>
      </c>
      <c r="D126" t="s">
        <v>70</v>
      </c>
      <c r="E126" t="s">
        <v>23</v>
      </c>
      <c r="F126" t="s">
        <v>34</v>
      </c>
    </row>
    <row r="127" spans="1:6" x14ac:dyDescent="0.3">
      <c r="A127" s="5">
        <v>46125</v>
      </c>
      <c r="B127" t="s">
        <v>20</v>
      </c>
      <c r="C127" s="6">
        <v>1660</v>
      </c>
      <c r="D127" t="s">
        <v>70</v>
      </c>
      <c r="E127" t="s">
        <v>51</v>
      </c>
      <c r="F127" t="s">
        <v>44</v>
      </c>
    </row>
    <row r="128" spans="1:6" x14ac:dyDescent="0.3">
      <c r="A128" s="5">
        <v>46126</v>
      </c>
      <c r="B128" t="s">
        <v>53</v>
      </c>
      <c r="C128" s="6">
        <v>8891.33</v>
      </c>
      <c r="D128" t="s">
        <v>70</v>
      </c>
      <c r="E128" t="s">
        <v>33</v>
      </c>
      <c r="F128" t="s">
        <v>19</v>
      </c>
    </row>
    <row r="129" spans="1:6" x14ac:dyDescent="0.3">
      <c r="A129" s="5">
        <v>46127</v>
      </c>
      <c r="B129" t="s">
        <v>56</v>
      </c>
      <c r="C129" s="6">
        <v>39712.69</v>
      </c>
      <c r="D129" t="s">
        <v>70</v>
      </c>
      <c r="E129" t="s">
        <v>18</v>
      </c>
      <c r="F129" t="s">
        <v>19</v>
      </c>
    </row>
    <row r="130" spans="1:6" x14ac:dyDescent="0.3">
      <c r="A130" s="5">
        <v>46127</v>
      </c>
      <c r="B130" t="s">
        <v>54</v>
      </c>
      <c r="C130" s="6">
        <v>50320</v>
      </c>
      <c r="D130" t="s">
        <v>71</v>
      </c>
      <c r="E130" t="s">
        <v>23</v>
      </c>
      <c r="F130" t="s">
        <v>29</v>
      </c>
    </row>
    <row r="131" spans="1:6" x14ac:dyDescent="0.3">
      <c r="A131" s="5">
        <v>46129</v>
      </c>
      <c r="B131" t="s">
        <v>56</v>
      </c>
      <c r="C131" s="6">
        <v>33820</v>
      </c>
      <c r="D131" t="s">
        <v>73</v>
      </c>
      <c r="E131" t="s">
        <v>18</v>
      </c>
      <c r="F131" t="s">
        <v>19</v>
      </c>
    </row>
    <row r="132" spans="1:6" x14ac:dyDescent="0.3">
      <c r="A132" s="5">
        <v>46129</v>
      </c>
      <c r="B132" t="s">
        <v>52</v>
      </c>
      <c r="C132" s="6">
        <v>26590</v>
      </c>
      <c r="D132" t="s">
        <v>70</v>
      </c>
      <c r="E132" t="s">
        <v>38</v>
      </c>
      <c r="F132" t="s">
        <v>24</v>
      </c>
    </row>
    <row r="133" spans="1:6" x14ac:dyDescent="0.3">
      <c r="A133" s="5">
        <v>46129</v>
      </c>
      <c r="B133" t="s">
        <v>50</v>
      </c>
      <c r="C133" s="6">
        <v>4990</v>
      </c>
      <c r="D133" t="s">
        <v>70</v>
      </c>
      <c r="E133" t="s">
        <v>23</v>
      </c>
      <c r="F133" t="s">
        <v>34</v>
      </c>
    </row>
    <row r="134" spans="1:6" x14ac:dyDescent="0.3">
      <c r="A134" s="5">
        <v>46129</v>
      </c>
      <c r="B134" t="s">
        <v>47</v>
      </c>
      <c r="C134" s="6">
        <v>4090</v>
      </c>
      <c r="D134" t="s">
        <v>70</v>
      </c>
      <c r="E134" t="s">
        <v>46</v>
      </c>
      <c r="F134" t="s">
        <v>34</v>
      </c>
    </row>
    <row r="135" spans="1:6" x14ac:dyDescent="0.3">
      <c r="A135" s="5">
        <v>46129</v>
      </c>
      <c r="B135" t="s">
        <v>50</v>
      </c>
      <c r="C135" s="6">
        <v>10620</v>
      </c>
      <c r="D135" t="s">
        <v>69</v>
      </c>
      <c r="E135" t="s">
        <v>23</v>
      </c>
      <c r="F135" t="s">
        <v>34</v>
      </c>
    </row>
    <row r="136" spans="1:6" x14ac:dyDescent="0.3">
      <c r="A136" s="5">
        <v>46132</v>
      </c>
      <c r="B136" t="s">
        <v>50</v>
      </c>
      <c r="C136" s="6">
        <v>14340</v>
      </c>
      <c r="D136" t="s">
        <v>71</v>
      </c>
      <c r="E136" t="s">
        <v>23</v>
      </c>
      <c r="F136" t="s">
        <v>34</v>
      </c>
    </row>
    <row r="137" spans="1:6" x14ac:dyDescent="0.3">
      <c r="A137" s="5">
        <v>46132</v>
      </c>
      <c r="B137" t="s">
        <v>56</v>
      </c>
      <c r="C137" s="6">
        <v>27860</v>
      </c>
      <c r="D137" t="s">
        <v>69</v>
      </c>
      <c r="E137" t="s">
        <v>18</v>
      </c>
      <c r="F137" t="s">
        <v>19</v>
      </c>
    </row>
    <row r="138" spans="1:6" x14ac:dyDescent="0.3">
      <c r="A138" s="5">
        <v>46133</v>
      </c>
      <c r="B138" t="s">
        <v>47</v>
      </c>
      <c r="C138" s="6">
        <v>3820</v>
      </c>
      <c r="D138" t="s">
        <v>70</v>
      </c>
      <c r="E138" t="s">
        <v>46</v>
      </c>
      <c r="F138" t="s">
        <v>34</v>
      </c>
    </row>
    <row r="139" spans="1:6" x14ac:dyDescent="0.3">
      <c r="A139" s="5">
        <v>46135</v>
      </c>
      <c r="B139" t="s">
        <v>55</v>
      </c>
      <c r="C139" s="6">
        <v>9090</v>
      </c>
      <c r="D139" t="s">
        <v>71</v>
      </c>
      <c r="E139" t="s">
        <v>28</v>
      </c>
      <c r="F139" t="s">
        <v>24</v>
      </c>
    </row>
    <row r="140" spans="1:6" x14ac:dyDescent="0.3">
      <c r="A140" s="5">
        <v>46137</v>
      </c>
      <c r="B140" t="s">
        <v>47</v>
      </c>
      <c r="C140" s="6">
        <v>16220</v>
      </c>
      <c r="D140" t="s">
        <v>70</v>
      </c>
      <c r="E140" t="s">
        <v>46</v>
      </c>
      <c r="F140" t="s">
        <v>34</v>
      </c>
    </row>
    <row r="141" spans="1:6" x14ac:dyDescent="0.3">
      <c r="A141" s="5">
        <v>46138</v>
      </c>
      <c r="B141" t="s">
        <v>20</v>
      </c>
      <c r="C141" s="6">
        <v>674.96</v>
      </c>
      <c r="D141" t="s">
        <v>73</v>
      </c>
      <c r="E141" t="s">
        <v>51</v>
      </c>
      <c r="F141" t="s">
        <v>44</v>
      </c>
    </row>
    <row r="142" spans="1:6" x14ac:dyDescent="0.3">
      <c r="A142" s="5">
        <v>46140</v>
      </c>
      <c r="B142" t="s">
        <v>52</v>
      </c>
      <c r="C142" s="6">
        <v>19793.900000000001</v>
      </c>
      <c r="D142" t="s">
        <v>69</v>
      </c>
      <c r="E142" t="s">
        <v>38</v>
      </c>
      <c r="F142" t="s">
        <v>24</v>
      </c>
    </row>
    <row r="143" spans="1:6" x14ac:dyDescent="0.3">
      <c r="A143" s="5">
        <v>46140</v>
      </c>
      <c r="B143" t="s">
        <v>53</v>
      </c>
      <c r="C143" s="6">
        <v>6070</v>
      </c>
      <c r="D143" t="s">
        <v>70</v>
      </c>
      <c r="E143" t="s">
        <v>33</v>
      </c>
      <c r="F143" t="s">
        <v>19</v>
      </c>
    </row>
    <row r="144" spans="1:6" x14ac:dyDescent="0.3">
      <c r="A144" s="5">
        <v>46140</v>
      </c>
      <c r="B144" t="s">
        <v>55</v>
      </c>
      <c r="C144" s="6">
        <v>25453.69</v>
      </c>
      <c r="D144" t="s">
        <v>69</v>
      </c>
      <c r="E144" t="s">
        <v>28</v>
      </c>
      <c r="F144" t="s">
        <v>24</v>
      </c>
    </row>
    <row r="145" spans="1:6" x14ac:dyDescent="0.3">
      <c r="A145" s="5">
        <v>46141</v>
      </c>
      <c r="B145" t="s">
        <v>53</v>
      </c>
      <c r="C145" s="6">
        <v>92996.86</v>
      </c>
      <c r="D145" t="s">
        <v>69</v>
      </c>
      <c r="E145" t="s">
        <v>33</v>
      </c>
      <c r="F145" t="s">
        <v>19</v>
      </c>
    </row>
    <row r="146" spans="1:6" x14ac:dyDescent="0.3">
      <c r="A146" s="5">
        <v>46143</v>
      </c>
      <c r="B146" t="s">
        <v>55</v>
      </c>
      <c r="C146" s="6">
        <v>34070</v>
      </c>
      <c r="D146" t="s">
        <v>69</v>
      </c>
      <c r="E146" t="s">
        <v>28</v>
      </c>
      <c r="F146" t="s">
        <v>24</v>
      </c>
    </row>
    <row r="147" spans="1:6" x14ac:dyDescent="0.3">
      <c r="A147" s="5">
        <v>46143</v>
      </c>
      <c r="B147" t="s">
        <v>55</v>
      </c>
      <c r="C147" s="6">
        <v>16070</v>
      </c>
      <c r="D147" t="s">
        <v>73</v>
      </c>
      <c r="E147" t="s">
        <v>28</v>
      </c>
      <c r="F147" t="s">
        <v>24</v>
      </c>
    </row>
    <row r="148" spans="1:6" x14ac:dyDescent="0.3">
      <c r="A148" s="5">
        <v>46143</v>
      </c>
      <c r="B148" t="s">
        <v>55</v>
      </c>
      <c r="C148" s="6">
        <v>14070</v>
      </c>
      <c r="D148" t="s">
        <v>70</v>
      </c>
      <c r="E148" t="s">
        <v>28</v>
      </c>
      <c r="F148" t="s">
        <v>24</v>
      </c>
    </row>
    <row r="149" spans="1:6" x14ac:dyDescent="0.3">
      <c r="A149" s="5">
        <v>46145</v>
      </c>
      <c r="B149" t="s">
        <v>56</v>
      </c>
      <c r="C149" s="6">
        <v>28530</v>
      </c>
      <c r="D149" t="s">
        <v>69</v>
      </c>
      <c r="E149" t="s">
        <v>18</v>
      </c>
      <c r="F149" t="s">
        <v>19</v>
      </c>
    </row>
    <row r="150" spans="1:6" x14ac:dyDescent="0.3">
      <c r="A150" s="5">
        <v>46147</v>
      </c>
      <c r="B150" t="s">
        <v>54</v>
      </c>
      <c r="C150" s="6">
        <v>9670</v>
      </c>
      <c r="D150" t="s">
        <v>69</v>
      </c>
      <c r="E150" t="s">
        <v>23</v>
      </c>
      <c r="F150" t="s">
        <v>29</v>
      </c>
    </row>
    <row r="151" spans="1:6" x14ac:dyDescent="0.3">
      <c r="A151" s="5">
        <v>46148</v>
      </c>
      <c r="B151" t="s">
        <v>54</v>
      </c>
      <c r="C151" s="6">
        <v>21930</v>
      </c>
      <c r="D151" t="s">
        <v>70</v>
      </c>
      <c r="E151" t="s">
        <v>23</v>
      </c>
      <c r="F151" t="s">
        <v>29</v>
      </c>
    </row>
    <row r="152" spans="1:6" x14ac:dyDescent="0.3">
      <c r="A152" s="5">
        <v>46149</v>
      </c>
      <c r="B152" t="s">
        <v>54</v>
      </c>
      <c r="C152" s="6">
        <v>21470.33</v>
      </c>
      <c r="D152" t="s">
        <v>70</v>
      </c>
      <c r="E152" t="s">
        <v>23</v>
      </c>
      <c r="F152" t="s">
        <v>29</v>
      </c>
    </row>
    <row r="153" spans="1:6" x14ac:dyDescent="0.3">
      <c r="A153" s="5">
        <v>46149</v>
      </c>
      <c r="B153" t="s">
        <v>52</v>
      </c>
      <c r="C153" s="6">
        <v>8930</v>
      </c>
      <c r="D153" t="s">
        <v>72</v>
      </c>
      <c r="E153" t="s">
        <v>38</v>
      </c>
      <c r="F153" t="s">
        <v>24</v>
      </c>
    </row>
    <row r="154" spans="1:6" x14ac:dyDescent="0.3">
      <c r="A154" s="5">
        <v>46149</v>
      </c>
      <c r="B154" t="s">
        <v>52</v>
      </c>
      <c r="C154" s="6">
        <v>19760</v>
      </c>
      <c r="D154" t="s">
        <v>70</v>
      </c>
      <c r="E154" t="s">
        <v>38</v>
      </c>
      <c r="F154" t="s">
        <v>24</v>
      </c>
    </row>
    <row r="155" spans="1:6" x14ac:dyDescent="0.3">
      <c r="A155" s="5">
        <v>46149</v>
      </c>
      <c r="B155" t="s">
        <v>56</v>
      </c>
      <c r="C155" s="6">
        <v>30480</v>
      </c>
      <c r="D155" t="s">
        <v>73</v>
      </c>
      <c r="E155" t="s">
        <v>18</v>
      </c>
      <c r="F155" t="s">
        <v>19</v>
      </c>
    </row>
    <row r="156" spans="1:6" x14ac:dyDescent="0.3">
      <c r="A156" s="5">
        <v>46150</v>
      </c>
      <c r="B156" t="s">
        <v>53</v>
      </c>
      <c r="C156" s="6">
        <v>19810</v>
      </c>
      <c r="D156" t="s">
        <v>70</v>
      </c>
      <c r="E156" t="s">
        <v>33</v>
      </c>
      <c r="F156" t="s">
        <v>19</v>
      </c>
    </row>
    <row r="157" spans="1:6" x14ac:dyDescent="0.3">
      <c r="A157" s="5">
        <v>46150</v>
      </c>
      <c r="B157" t="s">
        <v>53</v>
      </c>
      <c r="C157" s="6">
        <v>17310</v>
      </c>
      <c r="D157" t="s">
        <v>70</v>
      </c>
      <c r="E157" t="s">
        <v>33</v>
      </c>
      <c r="F157" t="s">
        <v>19</v>
      </c>
    </row>
    <row r="158" spans="1:6" x14ac:dyDescent="0.3">
      <c r="A158" s="5">
        <v>46150</v>
      </c>
      <c r="B158" t="s">
        <v>53</v>
      </c>
      <c r="C158" s="6">
        <v>27110</v>
      </c>
      <c r="D158" t="s">
        <v>69</v>
      </c>
      <c r="E158" t="s">
        <v>33</v>
      </c>
      <c r="F158" t="s">
        <v>19</v>
      </c>
    </row>
    <row r="159" spans="1:6" x14ac:dyDescent="0.3">
      <c r="A159" s="5">
        <v>46153</v>
      </c>
      <c r="B159" t="s">
        <v>48</v>
      </c>
      <c r="C159" s="6">
        <v>27015.3</v>
      </c>
      <c r="D159" t="s">
        <v>70</v>
      </c>
      <c r="E159" t="s">
        <v>43</v>
      </c>
      <c r="F159" t="s">
        <v>29</v>
      </c>
    </row>
    <row r="160" spans="1:6" x14ac:dyDescent="0.3">
      <c r="A160" s="5">
        <v>46153</v>
      </c>
      <c r="B160" t="s">
        <v>56</v>
      </c>
      <c r="C160" s="6">
        <v>20910</v>
      </c>
      <c r="D160" t="s">
        <v>70</v>
      </c>
      <c r="E160" t="s">
        <v>18</v>
      </c>
      <c r="F160" t="s">
        <v>19</v>
      </c>
    </row>
    <row r="161" spans="1:6" x14ac:dyDescent="0.3">
      <c r="A161" s="5">
        <v>46154</v>
      </c>
      <c r="B161" t="s">
        <v>52</v>
      </c>
      <c r="C161" s="6">
        <v>12350</v>
      </c>
      <c r="D161" t="s">
        <v>69</v>
      </c>
      <c r="E161" t="s">
        <v>38</v>
      </c>
      <c r="F161" t="s">
        <v>24</v>
      </c>
    </row>
    <row r="162" spans="1:6" x14ac:dyDescent="0.3">
      <c r="A162" s="5">
        <v>46155</v>
      </c>
      <c r="B162" t="s">
        <v>53</v>
      </c>
      <c r="C162" s="6">
        <v>12606.74</v>
      </c>
      <c r="D162" t="s">
        <v>70</v>
      </c>
      <c r="E162" t="s">
        <v>33</v>
      </c>
      <c r="F162" t="s">
        <v>19</v>
      </c>
    </row>
    <row r="163" spans="1:6" x14ac:dyDescent="0.3">
      <c r="A163" s="5">
        <v>46155</v>
      </c>
      <c r="B163" t="s">
        <v>52</v>
      </c>
      <c r="C163" s="6">
        <v>4150</v>
      </c>
      <c r="D163" t="s">
        <v>72</v>
      </c>
      <c r="E163" t="s">
        <v>38</v>
      </c>
      <c r="F163" t="s">
        <v>24</v>
      </c>
    </row>
    <row r="164" spans="1:6" x14ac:dyDescent="0.3">
      <c r="A164" s="5">
        <v>46156</v>
      </c>
      <c r="B164" t="s">
        <v>50</v>
      </c>
      <c r="C164" s="6">
        <v>6983</v>
      </c>
      <c r="D164" t="s">
        <v>71</v>
      </c>
      <c r="E164" t="s">
        <v>23</v>
      </c>
      <c r="F164" t="s">
        <v>34</v>
      </c>
    </row>
    <row r="165" spans="1:6" x14ac:dyDescent="0.3">
      <c r="A165" s="5">
        <v>46156</v>
      </c>
      <c r="B165" t="s">
        <v>48</v>
      </c>
      <c r="C165" s="6">
        <v>12320</v>
      </c>
      <c r="D165" t="s">
        <v>70</v>
      </c>
      <c r="E165" t="s">
        <v>43</v>
      </c>
      <c r="F165" t="s">
        <v>29</v>
      </c>
    </row>
    <row r="166" spans="1:6" x14ac:dyDescent="0.3">
      <c r="A166" s="5">
        <v>46157</v>
      </c>
      <c r="B166" t="s">
        <v>52</v>
      </c>
      <c r="C166" s="6">
        <v>15890</v>
      </c>
      <c r="D166" t="s">
        <v>70</v>
      </c>
      <c r="E166" t="s">
        <v>38</v>
      </c>
      <c r="F166" t="s">
        <v>24</v>
      </c>
    </row>
    <row r="167" spans="1:6" x14ac:dyDescent="0.3">
      <c r="A167" s="5">
        <v>46161</v>
      </c>
      <c r="B167" t="s">
        <v>48</v>
      </c>
      <c r="C167" s="6">
        <v>2696.29</v>
      </c>
      <c r="D167" t="s">
        <v>70</v>
      </c>
      <c r="E167" t="s">
        <v>43</v>
      </c>
      <c r="F167" t="s">
        <v>29</v>
      </c>
    </row>
    <row r="168" spans="1:6" x14ac:dyDescent="0.3">
      <c r="A168" s="5">
        <v>46161</v>
      </c>
      <c r="B168" t="s">
        <v>50</v>
      </c>
      <c r="C168" s="6">
        <v>4170</v>
      </c>
      <c r="D168" t="s">
        <v>69</v>
      </c>
      <c r="E168" t="s">
        <v>23</v>
      </c>
      <c r="F168" t="s">
        <v>34</v>
      </c>
    </row>
    <row r="169" spans="1:6" x14ac:dyDescent="0.3">
      <c r="A169" s="5">
        <v>46161</v>
      </c>
      <c r="B169" t="s">
        <v>52</v>
      </c>
      <c r="C169" s="6">
        <v>14809.45</v>
      </c>
      <c r="D169" t="s">
        <v>73</v>
      </c>
      <c r="E169" t="s">
        <v>38</v>
      </c>
      <c r="F169" t="s">
        <v>24</v>
      </c>
    </row>
    <row r="170" spans="1:6" x14ac:dyDescent="0.3">
      <c r="A170" s="5">
        <v>46162</v>
      </c>
      <c r="B170" t="s">
        <v>50</v>
      </c>
      <c r="C170" s="6">
        <v>6320</v>
      </c>
      <c r="D170" t="s">
        <v>70</v>
      </c>
      <c r="E170" t="s">
        <v>23</v>
      </c>
      <c r="F170" t="s">
        <v>34</v>
      </c>
    </row>
    <row r="171" spans="1:6" x14ac:dyDescent="0.3">
      <c r="A171" s="5">
        <v>46163</v>
      </c>
      <c r="B171" t="s">
        <v>55</v>
      </c>
      <c r="C171" s="6">
        <v>37894.99</v>
      </c>
      <c r="D171" t="s">
        <v>70</v>
      </c>
      <c r="E171" t="s">
        <v>28</v>
      </c>
      <c r="F171" t="s">
        <v>24</v>
      </c>
    </row>
    <row r="172" spans="1:6" x14ac:dyDescent="0.3">
      <c r="A172" s="5">
        <v>46163</v>
      </c>
      <c r="B172" t="s">
        <v>56</v>
      </c>
      <c r="C172" s="6">
        <v>21320</v>
      </c>
      <c r="D172" t="s">
        <v>70</v>
      </c>
      <c r="E172" t="s">
        <v>18</v>
      </c>
      <c r="F172" t="s">
        <v>19</v>
      </c>
    </row>
    <row r="173" spans="1:6" x14ac:dyDescent="0.3">
      <c r="A173" s="5">
        <v>46163</v>
      </c>
      <c r="B173" t="s">
        <v>56</v>
      </c>
      <c r="C173" s="6">
        <v>24330</v>
      </c>
      <c r="D173" t="s">
        <v>70</v>
      </c>
      <c r="E173" t="s">
        <v>18</v>
      </c>
      <c r="F173" t="s">
        <v>19</v>
      </c>
    </row>
    <row r="174" spans="1:6" x14ac:dyDescent="0.3">
      <c r="A174" s="5">
        <v>46163</v>
      </c>
      <c r="B174" t="s">
        <v>20</v>
      </c>
      <c r="C174" s="6">
        <v>380</v>
      </c>
      <c r="D174" t="s">
        <v>69</v>
      </c>
      <c r="E174" t="s">
        <v>51</v>
      </c>
      <c r="F174" t="s">
        <v>44</v>
      </c>
    </row>
    <row r="175" spans="1:6" x14ac:dyDescent="0.3">
      <c r="A175" s="5">
        <v>46164</v>
      </c>
      <c r="B175" t="s">
        <v>56</v>
      </c>
      <c r="C175" s="6">
        <v>16480</v>
      </c>
      <c r="D175" t="s">
        <v>70</v>
      </c>
      <c r="E175" t="s">
        <v>18</v>
      </c>
      <c r="F175" t="s">
        <v>19</v>
      </c>
    </row>
    <row r="176" spans="1:6" x14ac:dyDescent="0.3">
      <c r="A176" s="5">
        <v>46167</v>
      </c>
      <c r="B176" t="s">
        <v>56</v>
      </c>
      <c r="C176" s="6">
        <v>10990</v>
      </c>
      <c r="D176" t="s">
        <v>70</v>
      </c>
      <c r="E176" t="s">
        <v>18</v>
      </c>
      <c r="F176" t="s">
        <v>19</v>
      </c>
    </row>
    <row r="177" spans="1:6" x14ac:dyDescent="0.3">
      <c r="A177" s="5">
        <v>46169</v>
      </c>
      <c r="B177" t="s">
        <v>48</v>
      </c>
      <c r="C177" s="6">
        <v>7912.5</v>
      </c>
      <c r="D177" t="s">
        <v>73</v>
      </c>
      <c r="E177" t="s">
        <v>43</v>
      </c>
      <c r="F177" t="s">
        <v>29</v>
      </c>
    </row>
    <row r="178" spans="1:6" x14ac:dyDescent="0.3">
      <c r="A178" s="5">
        <v>46171</v>
      </c>
      <c r="B178" t="s">
        <v>45</v>
      </c>
      <c r="C178" s="6">
        <v>3694.5</v>
      </c>
      <c r="D178" t="s">
        <v>72</v>
      </c>
      <c r="E178" t="s">
        <v>49</v>
      </c>
      <c r="F178" t="s">
        <v>44</v>
      </c>
    </row>
    <row r="179" spans="1:6" x14ac:dyDescent="0.3">
      <c r="A179" s="5">
        <v>46171</v>
      </c>
      <c r="B179" t="s">
        <v>54</v>
      </c>
      <c r="C179" s="6">
        <v>33365.19</v>
      </c>
      <c r="D179" t="s">
        <v>71</v>
      </c>
      <c r="E179" t="s">
        <v>23</v>
      </c>
      <c r="F179" t="s">
        <v>29</v>
      </c>
    </row>
    <row r="180" spans="1:6" x14ac:dyDescent="0.3">
      <c r="A180" s="5">
        <v>46173</v>
      </c>
      <c r="B180" t="s">
        <v>54</v>
      </c>
      <c r="C180" s="6">
        <v>28860</v>
      </c>
      <c r="D180" t="s">
        <v>70</v>
      </c>
      <c r="E180" t="s">
        <v>23</v>
      </c>
      <c r="F180" t="s">
        <v>29</v>
      </c>
    </row>
    <row r="181" spans="1:6" x14ac:dyDescent="0.3">
      <c r="A181" s="5">
        <v>46173</v>
      </c>
      <c r="B181" t="s">
        <v>45</v>
      </c>
      <c r="C181" s="6">
        <v>5240</v>
      </c>
      <c r="D181" t="s">
        <v>70</v>
      </c>
      <c r="E181" t="s">
        <v>49</v>
      </c>
      <c r="F181" t="s">
        <v>44</v>
      </c>
    </row>
    <row r="182" spans="1:6" x14ac:dyDescent="0.3">
      <c r="A182" s="5">
        <v>46174</v>
      </c>
      <c r="B182" t="s">
        <v>45</v>
      </c>
      <c r="C182" s="6">
        <v>1130</v>
      </c>
      <c r="D182" t="s">
        <v>69</v>
      </c>
      <c r="E182" t="s">
        <v>49</v>
      </c>
      <c r="F182" t="s">
        <v>44</v>
      </c>
    </row>
    <row r="183" spans="1:6" x14ac:dyDescent="0.3">
      <c r="A183" s="5">
        <v>46174</v>
      </c>
      <c r="B183" t="s">
        <v>55</v>
      </c>
      <c r="C183" s="6">
        <v>12610</v>
      </c>
      <c r="D183" t="s">
        <v>70</v>
      </c>
      <c r="E183" t="s">
        <v>28</v>
      </c>
      <c r="F183" t="s">
        <v>24</v>
      </c>
    </row>
    <row r="184" spans="1:6" x14ac:dyDescent="0.3">
      <c r="A184" s="5">
        <v>46177</v>
      </c>
      <c r="B184" t="s">
        <v>50</v>
      </c>
      <c r="C184" s="6">
        <v>3480.53</v>
      </c>
      <c r="D184" t="s">
        <v>70</v>
      </c>
      <c r="E184" t="s">
        <v>23</v>
      </c>
      <c r="F184" t="s">
        <v>34</v>
      </c>
    </row>
    <row r="185" spans="1:6" x14ac:dyDescent="0.3">
      <c r="A185" s="5">
        <v>46178</v>
      </c>
      <c r="B185" t="s">
        <v>56</v>
      </c>
      <c r="C185" s="6">
        <v>13830</v>
      </c>
      <c r="D185" t="s">
        <v>70</v>
      </c>
      <c r="E185" t="s">
        <v>18</v>
      </c>
      <c r="F185" t="s">
        <v>19</v>
      </c>
    </row>
    <row r="186" spans="1:6" x14ac:dyDescent="0.3">
      <c r="A186" s="5">
        <v>46178</v>
      </c>
      <c r="B186" t="s">
        <v>56</v>
      </c>
      <c r="C186" s="6">
        <v>22030</v>
      </c>
      <c r="D186" t="s">
        <v>70</v>
      </c>
      <c r="E186" t="s">
        <v>18</v>
      </c>
      <c r="F186" t="s">
        <v>19</v>
      </c>
    </row>
    <row r="187" spans="1:6" x14ac:dyDescent="0.3">
      <c r="A187" s="5">
        <v>46178</v>
      </c>
      <c r="B187" t="s">
        <v>54</v>
      </c>
      <c r="C187" s="6">
        <v>18980</v>
      </c>
      <c r="D187" t="s">
        <v>69</v>
      </c>
      <c r="E187" t="s">
        <v>23</v>
      </c>
      <c r="F187" t="s">
        <v>29</v>
      </c>
    </row>
    <row r="188" spans="1:6" x14ac:dyDescent="0.3">
      <c r="A188" s="5">
        <v>46181</v>
      </c>
      <c r="B188" t="s">
        <v>50</v>
      </c>
      <c r="C188" s="6">
        <v>18786.32</v>
      </c>
      <c r="D188" t="s">
        <v>70</v>
      </c>
      <c r="E188" t="s">
        <v>23</v>
      </c>
      <c r="F188" t="s">
        <v>34</v>
      </c>
    </row>
    <row r="189" spans="1:6" x14ac:dyDescent="0.3">
      <c r="A189" s="5">
        <v>46181</v>
      </c>
      <c r="B189" t="s">
        <v>47</v>
      </c>
      <c r="C189" s="6">
        <v>5034.3</v>
      </c>
      <c r="D189" t="s">
        <v>69</v>
      </c>
      <c r="E189" t="s">
        <v>46</v>
      </c>
      <c r="F189" t="s">
        <v>34</v>
      </c>
    </row>
    <row r="190" spans="1:6" x14ac:dyDescent="0.3">
      <c r="A190" s="5">
        <v>46181</v>
      </c>
      <c r="B190" t="s">
        <v>54</v>
      </c>
      <c r="C190" s="6">
        <v>60570</v>
      </c>
      <c r="D190" t="s">
        <v>71</v>
      </c>
      <c r="E190" t="s">
        <v>23</v>
      </c>
      <c r="F190" t="s">
        <v>29</v>
      </c>
    </row>
    <row r="191" spans="1:6" x14ac:dyDescent="0.3">
      <c r="A191" s="5">
        <v>46182</v>
      </c>
      <c r="B191" t="s">
        <v>54</v>
      </c>
      <c r="C191" s="6">
        <v>50100</v>
      </c>
      <c r="D191" t="s">
        <v>73</v>
      </c>
      <c r="E191" t="s">
        <v>23</v>
      </c>
      <c r="F191" t="s">
        <v>29</v>
      </c>
    </row>
    <row r="192" spans="1:6" x14ac:dyDescent="0.3">
      <c r="A192" s="5">
        <v>46183</v>
      </c>
      <c r="B192" t="s">
        <v>55</v>
      </c>
      <c r="C192" s="6">
        <v>25375.67</v>
      </c>
      <c r="D192" t="s">
        <v>73</v>
      </c>
      <c r="E192" t="s">
        <v>28</v>
      </c>
      <c r="F192" t="s">
        <v>24</v>
      </c>
    </row>
    <row r="193" spans="1:6" x14ac:dyDescent="0.3">
      <c r="A193" s="5">
        <v>46183</v>
      </c>
      <c r="B193" t="s">
        <v>55</v>
      </c>
      <c r="C193" s="6">
        <v>26980</v>
      </c>
      <c r="D193" t="s">
        <v>71</v>
      </c>
      <c r="E193" t="s">
        <v>28</v>
      </c>
      <c r="F193" t="s">
        <v>24</v>
      </c>
    </row>
    <row r="194" spans="1:6" x14ac:dyDescent="0.3">
      <c r="A194" s="5">
        <v>46185</v>
      </c>
      <c r="B194" t="s">
        <v>54</v>
      </c>
      <c r="C194" s="6">
        <v>12447.95</v>
      </c>
      <c r="D194" t="s">
        <v>70</v>
      </c>
      <c r="E194" t="s">
        <v>23</v>
      </c>
      <c r="F194" t="s">
        <v>29</v>
      </c>
    </row>
    <row r="195" spans="1:6" x14ac:dyDescent="0.3">
      <c r="A195" s="5">
        <v>46185</v>
      </c>
      <c r="B195" t="s">
        <v>50</v>
      </c>
      <c r="C195" s="6">
        <v>8510</v>
      </c>
      <c r="D195" t="s">
        <v>69</v>
      </c>
      <c r="E195" t="s">
        <v>23</v>
      </c>
      <c r="F195" t="s">
        <v>34</v>
      </c>
    </row>
    <row r="196" spans="1:6" x14ac:dyDescent="0.3">
      <c r="A196" s="5">
        <v>46185</v>
      </c>
      <c r="B196" t="s">
        <v>55</v>
      </c>
      <c r="C196" s="6">
        <v>24000</v>
      </c>
      <c r="D196" t="s">
        <v>70</v>
      </c>
      <c r="E196" t="s">
        <v>28</v>
      </c>
      <c r="F196" t="s">
        <v>24</v>
      </c>
    </row>
    <row r="197" spans="1:6" x14ac:dyDescent="0.3">
      <c r="A197" s="5">
        <v>46186</v>
      </c>
      <c r="B197" t="s">
        <v>56</v>
      </c>
      <c r="C197" s="6">
        <v>30810</v>
      </c>
      <c r="D197" t="s">
        <v>69</v>
      </c>
      <c r="E197" t="s">
        <v>18</v>
      </c>
      <c r="F197" t="s">
        <v>19</v>
      </c>
    </row>
    <row r="198" spans="1:6" x14ac:dyDescent="0.3">
      <c r="A198" s="5">
        <v>46187</v>
      </c>
      <c r="B198" t="s">
        <v>53</v>
      </c>
      <c r="C198" s="6">
        <v>6110</v>
      </c>
      <c r="D198" t="s">
        <v>73</v>
      </c>
      <c r="E198" t="s">
        <v>33</v>
      </c>
      <c r="F198" t="s">
        <v>19</v>
      </c>
    </row>
    <row r="199" spans="1:6" x14ac:dyDescent="0.3">
      <c r="A199" s="5">
        <v>46188</v>
      </c>
      <c r="B199" t="s">
        <v>56</v>
      </c>
      <c r="C199" s="6">
        <v>32230</v>
      </c>
      <c r="D199" t="s">
        <v>73</v>
      </c>
      <c r="E199" t="s">
        <v>18</v>
      </c>
      <c r="F199" t="s">
        <v>19</v>
      </c>
    </row>
    <row r="200" spans="1:6" x14ac:dyDescent="0.3">
      <c r="A200" s="5">
        <v>46189</v>
      </c>
      <c r="B200" t="s">
        <v>48</v>
      </c>
      <c r="C200" s="6">
        <v>20500</v>
      </c>
      <c r="D200" t="s">
        <v>73</v>
      </c>
      <c r="E200" t="s">
        <v>43</v>
      </c>
      <c r="F200" t="s">
        <v>29</v>
      </c>
    </row>
    <row r="201" spans="1:6" x14ac:dyDescent="0.3">
      <c r="A201" s="5">
        <v>46190</v>
      </c>
      <c r="B201" t="s">
        <v>48</v>
      </c>
      <c r="C201" s="6">
        <v>4910</v>
      </c>
      <c r="D201" t="s">
        <v>70</v>
      </c>
      <c r="E201" t="s">
        <v>43</v>
      </c>
      <c r="F201" t="s">
        <v>29</v>
      </c>
    </row>
    <row r="202" spans="1:6" x14ac:dyDescent="0.3">
      <c r="A202" s="5">
        <v>46191</v>
      </c>
      <c r="B202" t="s">
        <v>56</v>
      </c>
      <c r="C202" s="6">
        <v>20630</v>
      </c>
      <c r="D202" t="s">
        <v>73</v>
      </c>
      <c r="E202" t="s">
        <v>18</v>
      </c>
      <c r="F202" t="s">
        <v>19</v>
      </c>
    </row>
    <row r="203" spans="1:6" x14ac:dyDescent="0.3">
      <c r="A203" s="5">
        <v>46191</v>
      </c>
      <c r="B203" t="s">
        <v>47</v>
      </c>
      <c r="C203" s="6">
        <v>12100</v>
      </c>
      <c r="D203" t="s">
        <v>70</v>
      </c>
      <c r="E203" t="s">
        <v>46</v>
      </c>
      <c r="F203" t="s">
        <v>34</v>
      </c>
    </row>
    <row r="204" spans="1:6" x14ac:dyDescent="0.3">
      <c r="A204" s="5">
        <v>46192</v>
      </c>
      <c r="B204" t="s">
        <v>48</v>
      </c>
      <c r="C204" s="6">
        <v>9857.83</v>
      </c>
      <c r="D204" t="s">
        <v>70</v>
      </c>
      <c r="E204" t="s">
        <v>43</v>
      </c>
      <c r="F204" t="s">
        <v>29</v>
      </c>
    </row>
    <row r="205" spans="1:6" x14ac:dyDescent="0.3">
      <c r="A205" s="5">
        <v>46192</v>
      </c>
      <c r="B205" t="s">
        <v>54</v>
      </c>
      <c r="C205" s="6">
        <v>11958.81</v>
      </c>
      <c r="D205" t="s">
        <v>70</v>
      </c>
      <c r="E205" t="s">
        <v>23</v>
      </c>
      <c r="F205" t="s">
        <v>29</v>
      </c>
    </row>
    <row r="206" spans="1:6" x14ac:dyDescent="0.3">
      <c r="A206" s="5">
        <v>46192</v>
      </c>
      <c r="B206" t="s">
        <v>54</v>
      </c>
      <c r="C206" s="6">
        <v>31180</v>
      </c>
      <c r="D206" t="s">
        <v>69</v>
      </c>
      <c r="E206" t="s">
        <v>23</v>
      </c>
      <c r="F206" t="s">
        <v>29</v>
      </c>
    </row>
    <row r="207" spans="1:6" x14ac:dyDescent="0.3">
      <c r="A207" s="5">
        <v>46194</v>
      </c>
      <c r="B207" t="s">
        <v>54</v>
      </c>
      <c r="C207" s="6">
        <v>8820</v>
      </c>
      <c r="D207" t="s">
        <v>70</v>
      </c>
      <c r="E207" t="s">
        <v>23</v>
      </c>
      <c r="F207" t="s">
        <v>29</v>
      </c>
    </row>
    <row r="208" spans="1:6" x14ac:dyDescent="0.3">
      <c r="A208" s="5">
        <v>46196</v>
      </c>
      <c r="B208" t="s">
        <v>45</v>
      </c>
      <c r="C208" s="6">
        <v>4260</v>
      </c>
      <c r="D208" t="s">
        <v>72</v>
      </c>
      <c r="E208" t="s">
        <v>49</v>
      </c>
      <c r="F208" t="s">
        <v>44</v>
      </c>
    </row>
    <row r="209" spans="1:6" x14ac:dyDescent="0.3">
      <c r="A209" s="5">
        <v>46196</v>
      </c>
      <c r="B209" t="s">
        <v>48</v>
      </c>
      <c r="C209" s="6">
        <v>7230</v>
      </c>
      <c r="D209" t="s">
        <v>70</v>
      </c>
      <c r="E209" t="s">
        <v>43</v>
      </c>
      <c r="F209" t="s">
        <v>29</v>
      </c>
    </row>
    <row r="210" spans="1:6" x14ac:dyDescent="0.3">
      <c r="A210" s="5">
        <v>46196</v>
      </c>
      <c r="B210" t="s">
        <v>20</v>
      </c>
      <c r="C210" s="6">
        <v>505.33</v>
      </c>
      <c r="D210" t="s">
        <v>69</v>
      </c>
      <c r="E210" t="s">
        <v>51</v>
      </c>
      <c r="F210" t="s">
        <v>44</v>
      </c>
    </row>
    <row r="211" spans="1:6" x14ac:dyDescent="0.3">
      <c r="A211" s="5">
        <v>46196</v>
      </c>
      <c r="B211" t="s">
        <v>56</v>
      </c>
      <c r="C211" s="6">
        <v>27770</v>
      </c>
      <c r="D211" t="s">
        <v>70</v>
      </c>
      <c r="E211" t="s">
        <v>18</v>
      </c>
      <c r="F211" t="s">
        <v>19</v>
      </c>
    </row>
    <row r="212" spans="1:6" x14ac:dyDescent="0.3">
      <c r="A212" s="5">
        <v>46197</v>
      </c>
      <c r="B212" t="s">
        <v>55</v>
      </c>
      <c r="C212" s="6">
        <v>15000</v>
      </c>
      <c r="D212" t="s">
        <v>70</v>
      </c>
      <c r="E212" t="s">
        <v>28</v>
      </c>
      <c r="F212" t="s">
        <v>24</v>
      </c>
    </row>
    <row r="213" spans="1:6" x14ac:dyDescent="0.3">
      <c r="A213" s="5">
        <v>46197</v>
      </c>
      <c r="B213" t="s">
        <v>53</v>
      </c>
      <c r="C213" s="6">
        <v>11085.02</v>
      </c>
      <c r="D213" t="s">
        <v>72</v>
      </c>
      <c r="E213" t="s">
        <v>33</v>
      </c>
      <c r="F213" t="s">
        <v>19</v>
      </c>
    </row>
    <row r="214" spans="1:6" x14ac:dyDescent="0.3">
      <c r="A214" s="5">
        <v>46199</v>
      </c>
      <c r="B214" t="s">
        <v>56</v>
      </c>
      <c r="C214" s="6">
        <v>13576.46</v>
      </c>
      <c r="D214" t="s">
        <v>69</v>
      </c>
      <c r="E214" t="s">
        <v>18</v>
      </c>
      <c r="F214" t="s">
        <v>19</v>
      </c>
    </row>
    <row r="215" spans="1:6" x14ac:dyDescent="0.3">
      <c r="A215" s="5">
        <v>46199</v>
      </c>
      <c r="B215" t="s">
        <v>20</v>
      </c>
      <c r="C215" s="6">
        <v>380</v>
      </c>
      <c r="D215" t="s">
        <v>71</v>
      </c>
      <c r="E215" t="s">
        <v>51</v>
      </c>
      <c r="F215" t="s">
        <v>44</v>
      </c>
    </row>
    <row r="216" spans="1:6" x14ac:dyDescent="0.3">
      <c r="A216" s="5">
        <v>46199</v>
      </c>
      <c r="B216" t="s">
        <v>56</v>
      </c>
      <c r="C216" s="6">
        <v>18090</v>
      </c>
      <c r="D216" t="s">
        <v>71</v>
      </c>
      <c r="E216" t="s">
        <v>18</v>
      </c>
      <c r="F216" t="s">
        <v>19</v>
      </c>
    </row>
    <row r="217" spans="1:6" x14ac:dyDescent="0.3">
      <c r="A217" s="5">
        <v>46200</v>
      </c>
      <c r="B217" t="s">
        <v>52</v>
      </c>
      <c r="C217" s="6">
        <v>43511.58</v>
      </c>
      <c r="D217" t="s">
        <v>70</v>
      </c>
      <c r="E217" t="s">
        <v>38</v>
      </c>
      <c r="F217" t="s">
        <v>24</v>
      </c>
    </row>
    <row r="218" spans="1:6" x14ac:dyDescent="0.3">
      <c r="A218" s="5">
        <v>46200</v>
      </c>
      <c r="B218" t="s">
        <v>55</v>
      </c>
      <c r="C218" s="6">
        <v>8461.73</v>
      </c>
      <c r="D218" t="s">
        <v>70</v>
      </c>
      <c r="E218" t="s">
        <v>28</v>
      </c>
      <c r="F218" t="s">
        <v>24</v>
      </c>
    </row>
    <row r="219" spans="1:6" x14ac:dyDescent="0.3">
      <c r="A219" s="5">
        <v>46201</v>
      </c>
      <c r="B219" t="s">
        <v>47</v>
      </c>
      <c r="C219" s="6">
        <v>4830</v>
      </c>
      <c r="D219" t="s">
        <v>70</v>
      </c>
      <c r="E219" t="s">
        <v>46</v>
      </c>
      <c r="F219" t="s">
        <v>34</v>
      </c>
    </row>
    <row r="220" spans="1:6" x14ac:dyDescent="0.3">
      <c r="A220" s="5">
        <v>46202</v>
      </c>
      <c r="B220" t="s">
        <v>54</v>
      </c>
      <c r="C220" s="6">
        <v>29320</v>
      </c>
      <c r="D220" t="s">
        <v>72</v>
      </c>
      <c r="E220" t="s">
        <v>23</v>
      </c>
      <c r="F220" t="s">
        <v>29</v>
      </c>
    </row>
    <row r="221" spans="1:6" x14ac:dyDescent="0.3">
      <c r="A221" s="5">
        <v>46202</v>
      </c>
      <c r="B221" t="s">
        <v>54</v>
      </c>
      <c r="C221" s="6">
        <v>8217.2199999999993</v>
      </c>
      <c r="D221" t="s">
        <v>70</v>
      </c>
      <c r="E221" t="s">
        <v>23</v>
      </c>
      <c r="F221" t="s">
        <v>29</v>
      </c>
    </row>
    <row r="222" spans="1:6" x14ac:dyDescent="0.3">
      <c r="A222" s="5">
        <v>46202</v>
      </c>
      <c r="B222" t="s">
        <v>56</v>
      </c>
      <c r="C222" s="6">
        <v>7470</v>
      </c>
      <c r="D222" t="s">
        <v>70</v>
      </c>
      <c r="E222" t="s">
        <v>18</v>
      </c>
      <c r="F222" t="s">
        <v>19</v>
      </c>
    </row>
    <row r="223" spans="1:6" x14ac:dyDescent="0.3">
      <c r="A223" s="5">
        <v>46202</v>
      </c>
      <c r="B223" t="s">
        <v>54</v>
      </c>
      <c r="C223" s="6">
        <v>15710</v>
      </c>
      <c r="D223" t="s">
        <v>70</v>
      </c>
      <c r="E223" t="s">
        <v>23</v>
      </c>
      <c r="F223" t="s">
        <v>29</v>
      </c>
    </row>
    <row r="224" spans="1:6" x14ac:dyDescent="0.3">
      <c r="A224" s="5">
        <v>46202</v>
      </c>
      <c r="B224" t="s">
        <v>45</v>
      </c>
      <c r="C224" s="6">
        <v>3605.2</v>
      </c>
      <c r="D224" t="s">
        <v>69</v>
      </c>
      <c r="E224" t="s">
        <v>49</v>
      </c>
      <c r="F224" t="s">
        <v>44</v>
      </c>
    </row>
    <row r="225" spans="1:6" x14ac:dyDescent="0.3">
      <c r="A225" s="5">
        <v>46203</v>
      </c>
      <c r="B225" t="s">
        <v>48</v>
      </c>
      <c r="C225" s="6">
        <v>5190</v>
      </c>
      <c r="D225" t="s">
        <v>71</v>
      </c>
      <c r="E225" t="s">
        <v>43</v>
      </c>
      <c r="F225" t="s">
        <v>29</v>
      </c>
    </row>
    <row r="226" spans="1:6" x14ac:dyDescent="0.3">
      <c r="A226" s="5">
        <v>46203</v>
      </c>
      <c r="B226" t="s">
        <v>55</v>
      </c>
      <c r="C226" s="6">
        <v>24242.9</v>
      </c>
      <c r="D226" t="s">
        <v>70</v>
      </c>
      <c r="E226" t="s">
        <v>28</v>
      </c>
      <c r="F226" t="s">
        <v>24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4" x14ac:dyDescent="0.3"/>
  <cols>
    <col min="1" max="1" width="32" customWidth="1"/>
    <col min="2" max="2" width="18" customWidth="1"/>
    <col min="3" max="3" width="20" customWidth="1"/>
  </cols>
  <sheetData>
    <row r="1" spans="1:3" ht="18" x14ac:dyDescent="0.35">
      <c r="A1" s="1" t="s">
        <v>74</v>
      </c>
    </row>
    <row r="2" spans="1:3" x14ac:dyDescent="0.3">
      <c r="A2" s="2" t="s">
        <v>75</v>
      </c>
    </row>
    <row r="4" spans="1:3" x14ac:dyDescent="0.3">
      <c r="A4" s="3" t="s">
        <v>15</v>
      </c>
      <c r="B4" s="3" t="s">
        <v>68</v>
      </c>
      <c r="C4" s="3" t="s">
        <v>14</v>
      </c>
    </row>
    <row r="5" spans="1:3" x14ac:dyDescent="0.3">
      <c r="A5" s="4" t="s">
        <v>55</v>
      </c>
      <c r="B5" s="4" t="s">
        <v>28</v>
      </c>
      <c r="C5" s="4" t="s">
        <v>24</v>
      </c>
    </row>
    <row r="6" spans="1:3" x14ac:dyDescent="0.3">
      <c r="A6" s="4" t="s">
        <v>54</v>
      </c>
      <c r="B6" s="4" t="s">
        <v>23</v>
      </c>
      <c r="C6" s="4" t="s">
        <v>29</v>
      </c>
    </row>
    <row r="7" spans="1:3" x14ac:dyDescent="0.3">
      <c r="A7" s="4" t="s">
        <v>20</v>
      </c>
      <c r="B7" s="4" t="s">
        <v>51</v>
      </c>
      <c r="C7" s="4" t="s">
        <v>44</v>
      </c>
    </row>
    <row r="8" spans="1:3" x14ac:dyDescent="0.3">
      <c r="A8" s="4" t="s">
        <v>52</v>
      </c>
      <c r="B8" s="4" t="s">
        <v>38</v>
      </c>
      <c r="C8" s="4" t="s">
        <v>24</v>
      </c>
    </row>
    <row r="9" spans="1:3" x14ac:dyDescent="0.3">
      <c r="A9" s="4" t="s">
        <v>47</v>
      </c>
      <c r="B9" s="4" t="s">
        <v>46</v>
      </c>
      <c r="C9" s="4" t="s">
        <v>34</v>
      </c>
    </row>
    <row r="10" spans="1:3" x14ac:dyDescent="0.3">
      <c r="A10" s="4" t="s">
        <v>53</v>
      </c>
      <c r="B10" s="4" t="s">
        <v>33</v>
      </c>
      <c r="C10" s="4" t="s">
        <v>19</v>
      </c>
    </row>
    <row r="11" spans="1:3" x14ac:dyDescent="0.3">
      <c r="A11" s="4" t="s">
        <v>48</v>
      </c>
      <c r="B11" s="4" t="s">
        <v>43</v>
      </c>
      <c r="C11" s="4" t="s">
        <v>29</v>
      </c>
    </row>
    <row r="12" spans="1:3" x14ac:dyDescent="0.3">
      <c r="A12" s="4" t="s">
        <v>45</v>
      </c>
      <c r="B12" s="4" t="s">
        <v>49</v>
      </c>
      <c r="C12" s="4" t="s">
        <v>44</v>
      </c>
    </row>
    <row r="13" spans="1:3" x14ac:dyDescent="0.3">
      <c r="A13" s="4" t="s">
        <v>50</v>
      </c>
      <c r="B13" s="4" t="s">
        <v>23</v>
      </c>
      <c r="C13" s="4" t="s">
        <v>34</v>
      </c>
    </row>
    <row r="14" spans="1:3" x14ac:dyDescent="0.3">
      <c r="A14" s="4" t="s">
        <v>56</v>
      </c>
      <c r="B14" s="4" t="s">
        <v>18</v>
      </c>
      <c r="C14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Dashboard</vt:lpstr>
      <vt:lpstr>Recebimentos</vt:lpstr>
      <vt:lpstr>Cadastro de Clientes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Terra</cp:lastModifiedBy>
  <dcterms:created xsi:type="dcterms:W3CDTF">2026-07-15T19:29:34Z</dcterms:created>
  <dcterms:modified xsi:type="dcterms:W3CDTF">2026-09-15T18:20:46Z</dcterms:modified>
</cp:coreProperties>
</file>